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/>
  <mc:AlternateContent xmlns:mc="http://schemas.openxmlformats.org/markup-compatibility/2006">
    <mc:Choice Requires="x15">
      <x15ac:absPath xmlns:x15ac="http://schemas.microsoft.com/office/spreadsheetml/2010/11/ac" url="/Users/nijie/Downloads/"/>
    </mc:Choice>
  </mc:AlternateContent>
  <xr:revisionPtr revIDLastSave="0" documentId="13_ncr:1_{C0A0465B-AE54-2347-88F4-961939C03B10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二季度预测项目" sheetId="1" r:id="rId1"/>
    <sheet name="中标阶段-近端-全部" sheetId="4" r:id="rId2"/>
    <sheet name="中标阶段-远端10W-全部" sheetId="5" r:id="rId3"/>
  </sheets>
  <definedNames>
    <definedName name="_xlnm._FilterDatabase" localSheetId="0" hidden="1">二季度预测项目!$A$1:$J$27</definedName>
    <definedName name="_xlnm._FilterDatabase" localSheetId="1" hidden="1">'中标阶段-近端-全部'!$A$2:$H$58</definedName>
    <definedName name="_xlnm._FilterDatabase" localSheetId="2" hidden="1">'中标阶段-远端10W-全部'!$A$2:$H$33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4" l="1"/>
</calcChain>
</file>

<file path=xl/sharedStrings.xml><?xml version="1.0" encoding="utf-8"?>
<sst xmlns="http://schemas.openxmlformats.org/spreadsheetml/2006/main" count="777" uniqueCount="170">
  <si>
    <t>项目名</t>
  </si>
  <si>
    <t>产品名称</t>
  </si>
  <si>
    <t>型号</t>
  </si>
  <si>
    <t>指标描述</t>
  </si>
  <si>
    <t>单位</t>
  </si>
  <si>
    <t>数量</t>
  </si>
  <si>
    <t>MN</t>
  </si>
  <si>
    <t>销售负责人</t>
  </si>
  <si>
    <t>预测批价时间</t>
  </si>
  <si>
    <t>项目阶段</t>
  </si>
  <si>
    <t>上海塘桥04-01地块</t>
  </si>
  <si>
    <t>智能光纤近端机</t>
  </si>
  <si>
    <t>RFS-400 LT/M</t>
  </si>
  <si>
    <t>频率范围：350-50MHz 带宽：≤15M 远端携带：4 功能： 网讯平台</t>
  </si>
  <si>
    <t>套</t>
  </si>
  <si>
    <t>HYR2SI030</t>
  </si>
  <si>
    <t>李华伟</t>
  </si>
  <si>
    <t>2026年二季度</t>
  </si>
  <si>
    <t>中标</t>
  </si>
  <si>
    <t>太原武宿国际机场三期停车楼项目</t>
  </si>
  <si>
    <t>智能光纤直放站 (近端)</t>
  </si>
  <si>
    <t>RFS-800 LT/M</t>
  </si>
  <si>
    <t>工作频率: 800-870 MHz, 光口数量: 4 个, 光口类型: LC, 供电规格: 220V±15% VAC, 显示方式: 双色指示灯, 安装方式: 机柜式, 光跳纤: LC-UPC单模单芯光跳纤</t>
  </si>
  <si>
    <t>EOMX9XCTPET</t>
  </si>
  <si>
    <t>郭小会</t>
  </si>
  <si>
    <t>智能光纤直放站 (远端)</t>
  </si>
  <si>
    <t>RFT-BDA810 LT/M</t>
  </si>
  <si>
    <t>工作频率: TX：851-866 / RX：806-821 MHz, 载波容量: 8, 最大输出功率: 40±2 dBm, 光口类型: LC, 供电规格: 220V±15% VAC, 显示方式: 双色指示灯, 关键器件备份: 电源、功放, 安装方式: 机柜式, 光跳纤: LC-UPC单模单芯光跳纤</t>
  </si>
  <si>
    <t>EOR477TCE7</t>
  </si>
  <si>
    <t>华泰证券股份有限公司华泰证券研发及培训中心项目</t>
  </si>
  <si>
    <t>范敬</t>
  </si>
  <si>
    <t>茂名石化炼油新增两套装置项目</t>
  </si>
  <si>
    <t>孙杰</t>
  </si>
  <si>
    <t>智能光纤直放站 (远端）</t>
  </si>
  <si>
    <t>RFT-BDA410 LT/M</t>
  </si>
  <si>
    <t>频率范围: 400-470 MHz, 显示方式: 双色指示灯, 电源类型: 国标 220 V, 安装方式: 机柜安装, 最大输出功率: 40±2dBm / 10 W, 载波容量: 8</t>
  </si>
  <si>
    <t>HYR3SI340</t>
  </si>
  <si>
    <t>茂名化工厂乙烯新增装置无线对讲信号覆盖补盲项目</t>
  </si>
  <si>
    <t>数字智能光纤直放站 (近端）</t>
  </si>
  <si>
    <t>DRFS-400/M</t>
  </si>
  <si>
    <t>频率范围: 400-470 MHz, 显示方式: 彩色触摸屏, 电源类型: 国标 220 V, 安装方式: 机柜安装, 尺寸: 480 × 480 × 90 mm, 光口数量: 4 个, 延迟同步功能: 具备</t>
  </si>
  <si>
    <t>HYR2DI040</t>
  </si>
  <si>
    <t>数字智能光纤直放站 (远端）</t>
  </si>
  <si>
    <t>DRFT-BDA410/M</t>
  </si>
  <si>
    <t>频率范围: 400-470 MHz, 显示方式: 彩色触摸屏, 电源类型: 国标 220 V, 安装方式: 机柜安装, 最大输出功率: 40±2dBm / 10 W, 尺寸: 480 × 480 × 90 mm, 光口数量: 2 个, 延迟同步功能: 具备</t>
  </si>
  <si>
    <t>HYR3DI340</t>
  </si>
  <si>
    <t>广东能源茂名热电厂有限公司无线对讲系统建设项目</t>
  </si>
  <si>
    <t>频率范围: 400-470 MHz, 显示方式: 彩色触摸屏, 电源类型: 国标 220 V, 安装方式: 机柜安装, 最大输出功率: 40±2dBm / 10 W, 尺寸: 480 × 480 × 90 mm, 光口数量: 2 个, 延迟同步功能: 具备, 馈电功能: 馈电</t>
  </si>
  <si>
    <t>EOR4AAI11MA1</t>
  </si>
  <si>
    <t>芜湖第四人民医院（安定医院）</t>
  </si>
  <si>
    <t>江苏省残疾人康复中心项目</t>
  </si>
  <si>
    <t>上海浦东东站-地下</t>
  </si>
  <si>
    <t>工作频率: 350-470 MHz, 光口数量: 4 个, 光口类型: LC, 供电规格: 220V±15% VAC, 显示方式: 双色指示灯, 安装方式: 机柜式, 光跳纤: LC-UPC单模单芯光跳纤</t>
  </si>
  <si>
    <t>EOM4CEPKTH</t>
  </si>
  <si>
    <t>杨俊杰</t>
  </si>
  <si>
    <t>2026年4月</t>
  </si>
  <si>
    <t>工作频率: TX：420-424 / RX：410-414 MHz, 载波容量: 8, 最大输出功率: 40±2 dBm, 光口类型: LC, 供电规格: 220V±15% VAC, 显示方式: 双色指示灯, 安装方式: 机柜式, 外形尺寸: 480*480*90 mm, 光跳纤: LC-UPC单模单芯光跳纤</t>
  </si>
  <si>
    <t>EOR47CEPKT6</t>
  </si>
  <si>
    <t>RFT-BDA310 LT/M</t>
  </si>
  <si>
    <t>工作频率: TX：361-366 / RX：351-356 MHz, 最大输出功率: 40±2 dBm, 光口类型: LC, 供电规格: 220V±15% VAC, 显示方式: 双色指示灯, 安装方式: 机柜式</t>
  </si>
  <si>
    <t>EORP7CEPKTR</t>
  </si>
  <si>
    <t>上海浦东东站-地上</t>
  </si>
  <si>
    <t>浙江横店喜来登酒店</t>
  </si>
  <si>
    <t>签约</t>
  </si>
  <si>
    <t>徐汇区华泾镇XHPO-0001单元D4D-02</t>
  </si>
  <si>
    <t>长三角一体化温州理工学院乐清产学研基地一期</t>
  </si>
  <si>
    <t>金桥南区WH4A-1金谷通用厂房二期增补</t>
  </si>
  <si>
    <t>虹桥机场东片区II-J-01地块工程项目</t>
  </si>
  <si>
    <t>西安高科智慧园二期</t>
  </si>
  <si>
    <t>批价</t>
  </si>
  <si>
    <t>中信金融中心项目</t>
  </si>
  <si>
    <t>产品</t>
  </si>
  <si>
    <t>项 目</t>
  </si>
  <si>
    <t>关联客户</t>
  </si>
  <si>
    <t>阶段</t>
  </si>
  <si>
    <t>负责人</t>
  </si>
  <si>
    <t>日期</t>
  </si>
  <si>
    <t>数字智能光纤近端机</t>
  </si>
  <si>
    <t>DRFS-300/M</t>
  </si>
  <si>
    <t>南京建宁西路隧道东延段项目</t>
  </si>
  <si>
    <t>敦力(南京科技有限公司</t>
  </si>
  <si>
    <t>求和项:数量</t>
  </si>
  <si>
    <t>DRFS-88/M</t>
  </si>
  <si>
    <t>南京建宁西路过江隧道项目</t>
  </si>
  <si>
    <t>DRFS-100/M</t>
  </si>
  <si>
    <t>梅川社区WO60901单元A12a-02地块建设项目</t>
  </si>
  <si>
    <t>上海瀚网智能科技有限公司</t>
  </si>
  <si>
    <t>张国栋</t>
  </si>
  <si>
    <t>上海质子重离子医院二期</t>
  </si>
  <si>
    <t>2025年奇瑞上海中心D-1#楼智能化工程</t>
  </si>
  <si>
    <t>效力(南京科技有限公司</t>
  </si>
  <si>
    <t>嘉定海螺研发北地块</t>
  </si>
  <si>
    <t>上海福玛通信信息科技有限公司/上海瀚网智能科技有限公司</t>
  </si>
  <si>
    <t>RFS-88 LT/M</t>
  </si>
  <si>
    <t>南京江北新金融中心一期项目EH地块弱电智能化工程</t>
  </si>
  <si>
    <t>智能光纤直放站(近端)</t>
  </si>
  <si>
    <t>康桥集成电路生产线厂房三期项目</t>
  </si>
  <si>
    <t>金桥海洋工厂二期</t>
  </si>
  <si>
    <t>总计</t>
  </si>
  <si>
    <t>合肥新桥机场二期新建</t>
  </si>
  <si>
    <t>成都音乐文创总部基地7号地块</t>
  </si>
  <si>
    <t>湖北交投实业大厦</t>
  </si>
  <si>
    <t>广州宇洪科技股份有限公司</t>
  </si>
  <si>
    <t>周裔锦</t>
  </si>
  <si>
    <t>双碳项目82地块D1-D1-智能化</t>
  </si>
  <si>
    <t>上海瀚网智的科技有限公司</t>
  </si>
  <si>
    <t>罗山科技园</t>
  </si>
  <si>
    <t>三亚海棠湾免税城三期</t>
  </si>
  <si>
    <t>广州宇洪科技股份有限公司/上海瀚网智能科技有限公司</t>
  </si>
  <si>
    <t>张江中区单元41-12地块水泥厂</t>
  </si>
  <si>
    <t>上海玩童通信科技有限公司</t>
  </si>
  <si>
    <t>创新药产业园项目A04C-01地块</t>
  </si>
  <si>
    <t>上海瑞童通信科技有限公司</t>
  </si>
  <si>
    <t>张江创新药基地A04B-02地块</t>
  </si>
  <si>
    <t>宁波中心丽思卡尔顿酒店</t>
  </si>
  <si>
    <t>上海福玛通信信息科技有限公司</t>
  </si>
  <si>
    <t>茂名化工厂乙烯新增装置无线对讲信号要盖补盲项目</t>
  </si>
  <si>
    <t>上海津泊信息科技有限公司/上海瑞廉酒信科技有限公司/上海激网智能科技有限.…</t>
  </si>
  <si>
    <t>周奢锦</t>
  </si>
  <si>
    <t>上海津泊信息科技有限公司</t>
  </si>
  <si>
    <t>徐汇区华泾镇XHPO-0001单元D5B-1地块</t>
  </si>
  <si>
    <t>上海温玛通信信息科技有限公司</t>
  </si>
  <si>
    <t>上海瑞廉适信科技有限公司</t>
  </si>
  <si>
    <t>上海浦东东站</t>
  </si>
  <si>
    <t>上海津泊信息科技有限公司/上海瑞廉逼信科技有限公司/上海艾亿智能科技有限.…</t>
  </si>
  <si>
    <t>南宁轨道科技创新产业园智能化工程</t>
  </si>
  <si>
    <t>康国杰</t>
  </si>
  <si>
    <t>四川德阳职业学校</t>
  </si>
  <si>
    <t>福津智能科技(四)有限公司</t>
  </si>
  <si>
    <t>上海社会主义学院</t>
  </si>
  <si>
    <t>中</t>
  </si>
  <si>
    <t>敷力(南京科技有限公司/上海福玛通信信息科技有限公司</t>
  </si>
  <si>
    <t>杭州国际金融中心汇东三区地下地上商业</t>
  </si>
  <si>
    <t>上海瀚网智的能科技有限公司</t>
  </si>
  <si>
    <t>上海瀚网智的相科技有限公司</t>
  </si>
  <si>
    <t>上海湛玛通信信息科技有限公司</t>
  </si>
  <si>
    <t>中建东孚张江广兰路B07-09地块</t>
  </si>
  <si>
    <t>琶洲算谷</t>
  </si>
  <si>
    <t>深圳歌剧院项目</t>
  </si>
  <si>
    <t>河套深港科技创新合作区东翼-1项目</t>
  </si>
  <si>
    <t>南京江北新金融中心一期项目DFG地块弱电智能化工程</t>
  </si>
  <si>
    <t>上海艾亿智能科技有限公司</t>
  </si>
  <si>
    <t>罗湖妇幼保健院智能化项目</t>
  </si>
  <si>
    <t>长沙机场改扩建配套地下遂道工程</t>
  </si>
  <si>
    <t>芜湖第四人民医院(安定医院)</t>
  </si>
  <si>
    <t>徐汇区华泾镇XHPO-0001单元D5D-1地块</t>
  </si>
  <si>
    <t>虹桥机场东片区T1南地块</t>
  </si>
  <si>
    <t>上海艾亿智科技有限公司/上海瀚网智能科技有限公司</t>
  </si>
  <si>
    <t>项目</t>
  </si>
  <si>
    <t>日 期</t>
  </si>
  <si>
    <t>数字智能光纤远端直放站</t>
  </si>
  <si>
    <t>智能光纤远端直放站</t>
  </si>
  <si>
    <t>上海淳泊信息科技有限公司/上海玩魔通信科技有限公司/上海艾亿智…</t>
  </si>
  <si>
    <t>上海淳泊信息科技有限公司/上海瑞童通信科技有限公司/上海艾亿智.…</t>
  </si>
  <si>
    <t>DRFT-BDA110/M</t>
  </si>
  <si>
    <t>DRFT-BDA310/M</t>
  </si>
  <si>
    <t>效力(南京)科技有限公司</t>
  </si>
  <si>
    <t>DRFT-BDA88/M</t>
  </si>
  <si>
    <t>RFT-BDA88 LT/M</t>
  </si>
  <si>
    <t>阿联酋料场</t>
  </si>
  <si>
    <t>上海空铁联运</t>
  </si>
  <si>
    <t>上海艾亿智能科技有限公司/上海瀚网智能科技有限公司</t>
  </si>
  <si>
    <t>上海艾亿智能科技有限公司/上海潮网智能科技有限公司</t>
  </si>
  <si>
    <t>敦力(南京)科技有限公司</t>
  </si>
  <si>
    <r>
      <t>徐汇区华泾镇</t>
    </r>
    <r>
      <rPr>
        <sz val="9"/>
        <color rgb="FF306090"/>
        <rFont val="微软雅黑"/>
        <family val="2"/>
        <charset val="134"/>
      </rPr>
      <t>XHPO-0001单元D4D-02</t>
    </r>
  </si>
  <si>
    <r>
      <t>名</t>
    </r>
    <r>
      <rPr>
        <sz val="9"/>
        <color rgb="FF306090"/>
        <rFont val="微软雅黑"/>
        <family val="2"/>
        <charset val="134"/>
      </rPr>
      <t>创优品项目</t>
    </r>
  </si>
  <si>
    <r>
      <t>阿联酋料</t>
    </r>
    <r>
      <rPr>
        <sz val="9"/>
        <color rgb="FF3060A0"/>
        <rFont val="微软雅黑"/>
        <family val="2"/>
        <charset val="134"/>
      </rPr>
      <t>场</t>
    </r>
  </si>
  <si>
    <r>
      <t>黄浦区广场社区</t>
    </r>
    <r>
      <rPr>
        <sz val="9"/>
        <color rgb="FF306090"/>
        <rFont val="微软雅黑"/>
        <family val="2"/>
        <charset val="134"/>
      </rPr>
      <t>C010102单元064-01、065-01地块「嘉里金陵</t>
    </r>
    <r>
      <rPr>
        <sz val="9"/>
        <color rgb="FF304090"/>
        <rFont val="微软雅黑"/>
        <family val="2"/>
        <charset val="134"/>
      </rPr>
      <t>….</t>
    </r>
  </si>
  <si>
    <r>
      <t>上海空</t>
    </r>
    <r>
      <rPr>
        <sz val="9"/>
        <color rgb="FF306090"/>
        <rFont val="微软雅黑"/>
        <family val="2"/>
        <charset val="134"/>
      </rPr>
      <t>铁联运</t>
    </r>
  </si>
  <si>
    <r>
      <t>琶洲</t>
    </r>
    <r>
      <rPr>
        <sz val="9"/>
        <color rgb="FF206090"/>
        <rFont val="微软雅黑"/>
        <family val="2"/>
        <charset val="134"/>
      </rPr>
      <t>算谷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</si>
</sst>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0" formatCode="0_ "/>
    <numFmt numFmtId="181" formatCode="yyyy/mm/dd;@"/>
    <numFmt numFmtId="182" formatCode="yyyy/m/dd;@"/>
    <numFmt numFmtId="183" formatCode="\ \ \ \ @"/>
    <numFmt numFmtId="184" formatCode="yyyy/mm/d;@"/>
    <numFmt numFmtId="185" formatCode="yyyy/m/d;@"/>
    <numFmt numFmtId="186" formatCode="\ \ @"/>
    <numFmt numFmtId="187" formatCode="#,##0.00_ "/>
  </numFmts>
  <fonts count="22">
    <font>
      <sz val="11"/>
      <color theme="1"/>
      <name val="宋体"/>
      <charset val="134"/>
      <scheme val="minor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3060A0"/>
      <name val="微软雅黑"/>
      <family val="2"/>
      <charset val="134"/>
    </font>
    <font>
      <sz val="9"/>
      <color rgb="FF403040"/>
      <name val="微软雅黑"/>
      <family val="2"/>
      <charset val="134"/>
    </font>
    <font>
      <sz val="9"/>
      <color rgb="FF2060A0"/>
      <name val="微软雅黑"/>
      <family val="2"/>
      <charset val="134"/>
    </font>
    <font>
      <sz val="9"/>
      <color rgb="FF2070A0"/>
      <name val="微软雅黑"/>
      <family val="2"/>
      <charset val="134"/>
    </font>
    <font>
      <sz val="9"/>
      <color rgb="FF306090"/>
      <name val="微软雅黑"/>
      <family val="2"/>
      <charset val="134"/>
    </font>
    <font>
      <sz val="9"/>
      <color rgb="FF206090"/>
      <name val="微软雅黑"/>
      <family val="2"/>
      <charset val="134"/>
    </font>
    <font>
      <sz val="9"/>
      <color rgb="FF3070A0"/>
      <name val="微软雅黑"/>
      <family val="2"/>
      <charset val="134"/>
    </font>
    <font>
      <sz val="9"/>
      <color rgb="FF203040"/>
      <name val="微软雅黑"/>
      <family val="2"/>
      <charset val="134"/>
    </font>
    <font>
      <sz val="9"/>
      <color rgb="FF204050"/>
      <name val="微软雅黑"/>
      <family val="2"/>
      <charset val="134"/>
    </font>
    <font>
      <sz val="9"/>
      <color rgb="FF304050"/>
      <name val="微软雅黑"/>
      <family val="2"/>
      <charset val="134"/>
    </font>
    <font>
      <sz val="9"/>
      <color rgb="FF306080"/>
      <name val="微软雅黑"/>
      <family val="2"/>
      <charset val="134"/>
    </font>
    <font>
      <sz val="9"/>
      <color rgb="FF203050"/>
      <name val="微软雅黑"/>
      <family val="2"/>
      <charset val="134"/>
    </font>
    <font>
      <sz val="9"/>
      <color rgb="FF304090"/>
      <name val="微软雅黑"/>
      <family val="2"/>
      <charset val="134"/>
    </font>
    <font>
      <sz val="9"/>
      <color rgb="FF204040"/>
      <name val="微软雅黑"/>
      <family val="2"/>
      <charset val="134"/>
    </font>
    <font>
      <sz val="8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center" vertical="center"/>
    </xf>
    <xf numFmtId="187" fontId="3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87" fontId="3" fillId="4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right" vertical="center"/>
    </xf>
    <xf numFmtId="49" fontId="2" fillId="4" borderId="2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80" fontId="6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82" fontId="6" fillId="0" borderId="1" xfId="0" applyNumberFormat="1" applyFont="1" applyBorder="1" applyAlignment="1">
      <alignment horizontal="left" vertical="center" indent="1"/>
    </xf>
    <xf numFmtId="0" fontId="5" fillId="0" borderId="0" xfId="0" applyFont="1">
      <alignment vertical="center"/>
    </xf>
    <xf numFmtId="180" fontId="8" fillId="0" borderId="1" xfId="0" applyNumberFormat="1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81" fontId="6" fillId="0" borderId="1" xfId="0" applyNumberFormat="1" applyFont="1" applyBorder="1" applyAlignment="1">
      <alignment horizontal="left" vertical="center" indent="1"/>
    </xf>
    <xf numFmtId="183" fontId="3" fillId="0" borderId="1" xfId="0" applyNumberFormat="1" applyFont="1" applyBorder="1" applyAlignment="1">
      <alignment horizontal="left" vertical="center" indent="1"/>
    </xf>
    <xf numFmtId="181" fontId="14" fillId="0" borderId="1" xfId="0" applyNumberFormat="1" applyFont="1" applyBorder="1" applyAlignment="1">
      <alignment horizontal="left" vertical="center" indent="1"/>
    </xf>
    <xf numFmtId="184" fontId="6" fillId="0" borderId="1" xfId="0" applyNumberFormat="1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185" fontId="14" fillId="0" borderId="1" xfId="0" applyNumberFormat="1" applyFont="1" applyBorder="1" applyAlignment="1">
      <alignment horizontal="left" vertical="center" indent="1"/>
    </xf>
    <xf numFmtId="185" fontId="6" fillId="0" borderId="1" xfId="0" applyNumberFormat="1" applyFont="1" applyBorder="1" applyAlignment="1">
      <alignment horizontal="left" vertical="center" indent="1"/>
    </xf>
    <xf numFmtId="185" fontId="16" fillId="0" borderId="1" xfId="0" applyNumberFormat="1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1"/>
    </xf>
    <xf numFmtId="186" fontId="3" fillId="0" borderId="1" xfId="0" applyNumberFormat="1" applyFont="1" applyBorder="1" applyAlignment="1">
      <alignment horizontal="left" vertical="center" indent="1"/>
    </xf>
    <xf numFmtId="184" fontId="15" fillId="0" borderId="1" xfId="0" applyNumberFormat="1" applyFont="1" applyBorder="1" applyAlignment="1">
      <alignment horizontal="left" vertical="center" indent="1"/>
    </xf>
    <xf numFmtId="184" fontId="18" fillId="0" borderId="1" xfId="0" applyNumberFormat="1" applyFont="1" applyBorder="1" applyAlignment="1">
      <alignment horizontal="left" vertical="center" indent="1"/>
    </xf>
    <xf numFmtId="184" fontId="14" fillId="0" borderId="1" xfId="0" applyNumberFormat="1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0" fillId="0" borderId="1" xfId="0" applyFont="1" applyBorder="1" applyAlignment="1">
      <alignment horizontal="left" vertical="center" indent="1"/>
    </xf>
    <xf numFmtId="0" fontId="21" fillId="0" borderId="0" xfId="0" applyFont="1" applyAlignment="1">
      <alignment horizontal="left" vertical="center" indent="1"/>
    </xf>
  </cellXfs>
  <cellStyles count="1">
    <cellStyle name="常规" xfId="0" builtinId="0"/>
  </cellStyles>
  <dxfs count="21"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one" refreshedDate="46121.925509259301" createdVersion="5" refreshedVersion="5" minRefreshableVersion="3" recordCount="55" xr:uid="{00000000-000A-0000-FFFF-FFFF00000000}">
  <cacheSource type="worksheet">
    <worksheetSource ref="A2:C57" sheet="中标阶段-近端-全部"/>
  </cacheSource>
  <cacheFields count="3">
    <cacheField name="产品" numFmtId="0">
      <sharedItems count="4">
        <s v="数字智能光纤近端机"/>
        <s v="智能光纤近端机"/>
        <s v="智能光纤直放站(近端)"/>
        <s v="数字智能光纤直放站(近端)" u="1"/>
      </sharedItems>
    </cacheField>
    <cacheField name="型号" numFmtId="0">
      <sharedItems count="7">
        <s v="DRFS-300/M"/>
        <s v="DRFS-400/M"/>
        <s v="DRFS-88/M"/>
        <s v="RFS-400 LT/M"/>
        <s v="RFS-800 LT/M"/>
        <s v="DRFS-100/M"/>
        <s v="RFS-88 LT/M"/>
      </sharedItems>
    </cacheField>
    <cacheField name="数量" numFmtId="180">
      <sharedItems containsSemiMixedTypes="0" containsString="0" containsNumber="1" containsInteger="1" minValue="0" maxValue="30" count="11">
        <n v="1"/>
        <n v="6"/>
        <n v="3"/>
        <n v="4"/>
        <n v="7"/>
        <n v="30"/>
        <n v="2"/>
        <n v="8"/>
        <n v="10"/>
        <n v="11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one" refreshedDate="46121.936168981498" createdVersion="5" refreshedVersion="5" minRefreshableVersion="3" recordCount="31" xr:uid="{00000000-000A-0000-FFFF-FFFF01000000}">
  <cacheSource type="worksheet">
    <worksheetSource ref="A2:C33" sheet="中标阶段-远端10W-全部"/>
  </cacheSource>
  <cacheFields count="3">
    <cacheField name="产品" numFmtId="0">
      <sharedItems count="6">
        <s v="数字智能光纤远端直放站"/>
        <s v="智能光纤远端直放站"/>
        <s v="智能光纤直放站(远端)" u="1"/>
        <s v="智能光纤远端机" u="1"/>
        <s v="智能光纤近端机" u="1"/>
        <s v="数字智能光纤直放站(远端)" u="1"/>
      </sharedItems>
    </cacheField>
    <cacheField name="型号" numFmtId="0">
      <sharedItems count="7">
        <s v="DRFT-BDA410/M"/>
        <s v="RFT-BDA310 LT/M"/>
        <s v="RFT-BDA410 LT/M"/>
        <s v="DRFT-BDA110/M"/>
        <s v="DRFT-BDA310/M"/>
        <s v="RFT-BDA88 LT/M"/>
        <s v="DRFT-BDA88/M"/>
      </sharedItems>
    </cacheField>
    <cacheField name="数量" numFmtId="180">
      <sharedItems containsSemiMixedTypes="0" containsString="0" containsNumber="1" containsInteger="1" minValue="0" maxValue="91" count="14">
        <n v="14"/>
        <n v="15"/>
        <n v="5"/>
        <n v="11"/>
        <n v="45"/>
        <n v="6"/>
        <n v="91"/>
        <n v="4"/>
        <n v="18"/>
        <n v="17"/>
        <n v="1"/>
        <n v="10"/>
        <n v="20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x v="0"/>
    <x v="0"/>
    <x v="0"/>
  </r>
  <r>
    <x v="0"/>
    <x v="1"/>
    <x v="0"/>
  </r>
  <r>
    <x v="0"/>
    <x v="2"/>
    <x v="0"/>
  </r>
  <r>
    <x v="0"/>
    <x v="0"/>
    <x v="1"/>
  </r>
  <r>
    <x v="0"/>
    <x v="1"/>
    <x v="0"/>
  </r>
  <r>
    <x v="1"/>
    <x v="3"/>
    <x v="2"/>
  </r>
  <r>
    <x v="1"/>
    <x v="3"/>
    <x v="3"/>
  </r>
  <r>
    <x v="1"/>
    <x v="3"/>
    <x v="1"/>
  </r>
  <r>
    <x v="1"/>
    <x v="3"/>
    <x v="2"/>
  </r>
  <r>
    <x v="0"/>
    <x v="1"/>
    <x v="3"/>
  </r>
  <r>
    <x v="1"/>
    <x v="3"/>
    <x v="4"/>
  </r>
  <r>
    <x v="1"/>
    <x v="3"/>
    <x v="3"/>
  </r>
  <r>
    <x v="0"/>
    <x v="1"/>
    <x v="5"/>
  </r>
  <r>
    <x v="1"/>
    <x v="3"/>
    <x v="0"/>
  </r>
  <r>
    <x v="1"/>
    <x v="3"/>
    <x v="3"/>
  </r>
  <r>
    <x v="1"/>
    <x v="3"/>
    <x v="3"/>
  </r>
  <r>
    <x v="1"/>
    <x v="3"/>
    <x v="4"/>
  </r>
  <r>
    <x v="1"/>
    <x v="3"/>
    <x v="6"/>
  </r>
  <r>
    <x v="1"/>
    <x v="3"/>
    <x v="2"/>
  </r>
  <r>
    <x v="1"/>
    <x v="3"/>
    <x v="6"/>
  </r>
  <r>
    <x v="1"/>
    <x v="3"/>
    <x v="6"/>
  </r>
  <r>
    <x v="1"/>
    <x v="3"/>
    <x v="3"/>
  </r>
  <r>
    <x v="0"/>
    <x v="1"/>
    <x v="6"/>
  </r>
  <r>
    <x v="1"/>
    <x v="3"/>
    <x v="3"/>
  </r>
  <r>
    <x v="1"/>
    <x v="3"/>
    <x v="6"/>
  </r>
  <r>
    <x v="1"/>
    <x v="3"/>
    <x v="2"/>
  </r>
  <r>
    <x v="2"/>
    <x v="4"/>
    <x v="6"/>
  </r>
  <r>
    <x v="1"/>
    <x v="3"/>
    <x v="7"/>
  </r>
  <r>
    <x v="0"/>
    <x v="1"/>
    <x v="2"/>
  </r>
  <r>
    <x v="1"/>
    <x v="3"/>
    <x v="6"/>
  </r>
  <r>
    <x v="1"/>
    <x v="3"/>
    <x v="3"/>
  </r>
  <r>
    <x v="1"/>
    <x v="3"/>
    <x v="3"/>
  </r>
  <r>
    <x v="1"/>
    <x v="3"/>
    <x v="0"/>
  </r>
  <r>
    <x v="1"/>
    <x v="3"/>
    <x v="6"/>
  </r>
  <r>
    <x v="1"/>
    <x v="3"/>
    <x v="6"/>
  </r>
  <r>
    <x v="1"/>
    <x v="3"/>
    <x v="3"/>
  </r>
  <r>
    <x v="1"/>
    <x v="3"/>
    <x v="0"/>
  </r>
  <r>
    <x v="1"/>
    <x v="3"/>
    <x v="3"/>
  </r>
  <r>
    <x v="1"/>
    <x v="3"/>
    <x v="3"/>
  </r>
  <r>
    <x v="1"/>
    <x v="3"/>
    <x v="0"/>
  </r>
  <r>
    <x v="1"/>
    <x v="3"/>
    <x v="6"/>
  </r>
  <r>
    <x v="1"/>
    <x v="3"/>
    <x v="0"/>
  </r>
  <r>
    <x v="1"/>
    <x v="3"/>
    <x v="8"/>
  </r>
  <r>
    <x v="0"/>
    <x v="1"/>
    <x v="3"/>
  </r>
  <r>
    <x v="1"/>
    <x v="3"/>
    <x v="9"/>
  </r>
  <r>
    <x v="1"/>
    <x v="3"/>
    <x v="10"/>
  </r>
  <r>
    <x v="0"/>
    <x v="5"/>
    <x v="2"/>
  </r>
  <r>
    <x v="0"/>
    <x v="1"/>
    <x v="0"/>
  </r>
  <r>
    <x v="1"/>
    <x v="3"/>
    <x v="0"/>
  </r>
  <r>
    <x v="1"/>
    <x v="3"/>
    <x v="3"/>
  </r>
  <r>
    <x v="1"/>
    <x v="6"/>
    <x v="6"/>
  </r>
  <r>
    <x v="1"/>
    <x v="3"/>
    <x v="2"/>
  </r>
  <r>
    <x v="1"/>
    <x v="3"/>
    <x v="8"/>
  </r>
  <r>
    <x v="1"/>
    <x v="3"/>
    <x v="6"/>
  </r>
  <r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">
  <r>
    <x v="0"/>
    <x v="0"/>
    <x v="0"/>
  </r>
  <r>
    <x v="1"/>
    <x v="1"/>
    <x v="1"/>
  </r>
  <r>
    <x v="1"/>
    <x v="2"/>
    <x v="1"/>
  </r>
  <r>
    <x v="1"/>
    <x v="1"/>
    <x v="2"/>
  </r>
  <r>
    <x v="1"/>
    <x v="1"/>
    <x v="2"/>
  </r>
  <r>
    <x v="0"/>
    <x v="0"/>
    <x v="3"/>
  </r>
  <r>
    <x v="1"/>
    <x v="2"/>
    <x v="4"/>
  </r>
  <r>
    <x v="1"/>
    <x v="1"/>
    <x v="5"/>
  </r>
  <r>
    <x v="1"/>
    <x v="2"/>
    <x v="5"/>
  </r>
  <r>
    <x v="0"/>
    <x v="0"/>
    <x v="6"/>
  </r>
  <r>
    <x v="1"/>
    <x v="1"/>
    <x v="2"/>
  </r>
  <r>
    <x v="1"/>
    <x v="2"/>
    <x v="7"/>
  </r>
  <r>
    <x v="1"/>
    <x v="1"/>
    <x v="8"/>
  </r>
  <r>
    <x v="1"/>
    <x v="2"/>
    <x v="3"/>
  </r>
  <r>
    <x v="0"/>
    <x v="0"/>
    <x v="1"/>
  </r>
  <r>
    <x v="0"/>
    <x v="3"/>
    <x v="9"/>
  </r>
  <r>
    <x v="0"/>
    <x v="4"/>
    <x v="10"/>
  </r>
  <r>
    <x v="0"/>
    <x v="0"/>
    <x v="10"/>
  </r>
  <r>
    <x v="1"/>
    <x v="1"/>
    <x v="2"/>
  </r>
  <r>
    <x v="1"/>
    <x v="2"/>
    <x v="2"/>
  </r>
  <r>
    <x v="1"/>
    <x v="5"/>
    <x v="10"/>
  </r>
  <r>
    <x v="1"/>
    <x v="1"/>
    <x v="8"/>
  </r>
  <r>
    <x v="1"/>
    <x v="2"/>
    <x v="8"/>
  </r>
  <r>
    <x v="1"/>
    <x v="2"/>
    <x v="7"/>
  </r>
  <r>
    <x v="1"/>
    <x v="1"/>
    <x v="7"/>
  </r>
  <r>
    <x v="0"/>
    <x v="0"/>
    <x v="11"/>
  </r>
  <r>
    <x v="0"/>
    <x v="4"/>
    <x v="12"/>
  </r>
  <r>
    <x v="0"/>
    <x v="6"/>
    <x v="11"/>
  </r>
  <r>
    <x v="0"/>
    <x v="6"/>
    <x v="13"/>
  </r>
  <r>
    <x v="0"/>
    <x v="0"/>
    <x v="13"/>
  </r>
  <r>
    <x v="0"/>
    <x v="4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4" cacheId="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J3:L14" firstHeaderRow="1" firstDataRow="1" firstDataCol="2"/>
  <pivotFields count="3">
    <pivotField axis="axisRow" compact="0" showAll="0">
      <items count="5">
        <item x="0"/>
        <item m="1" x="3"/>
        <item x="1"/>
        <item x="2"/>
        <item t="default"/>
      </items>
    </pivotField>
    <pivotField axis="axisRow" compact="0" showAll="0">
      <items count="8">
        <item x="5"/>
        <item x="0"/>
        <item x="1"/>
        <item x="2"/>
        <item x="3"/>
        <item x="4"/>
        <item x="6"/>
        <item t="default"/>
      </items>
    </pivotField>
    <pivotField dataField="1" compact="0" numFmtId="180" showAll="0">
      <items count="12">
        <item x="0"/>
        <item x="6"/>
        <item x="2"/>
        <item x="3"/>
        <item x="1"/>
        <item x="4"/>
        <item x="7"/>
        <item x="10"/>
        <item x="8"/>
        <item x="9"/>
        <item x="5"/>
        <item t="default"/>
      </items>
    </pivotField>
  </pivotFields>
  <rowFields count="2">
    <field x="0"/>
    <field x="1"/>
  </rowFields>
  <rowItems count="11">
    <i>
      <x/>
    </i>
    <i r="1">
      <x/>
    </i>
    <i r="1">
      <x v="1"/>
    </i>
    <i r="1">
      <x v="2"/>
    </i>
    <i r="1">
      <x v="3"/>
    </i>
    <i>
      <x v="2"/>
    </i>
    <i r="1">
      <x v="4"/>
    </i>
    <i r="1">
      <x v="6"/>
    </i>
    <i>
      <x v="3"/>
    </i>
    <i r="1">
      <x v="5"/>
    </i>
    <i t="grand">
      <x/>
    </i>
  </rowItems>
  <colItems count="1">
    <i/>
  </colItems>
  <dataFields count="1">
    <dataField name="求和项:数量" fld="2" baseField="0" baseItem="0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field="1" type="button" dataOnly="0" labelOnly="1" outline="0" axis="axisRow" fieldPosition="1"/>
    </format>
    <format dxfId="16">
      <pivotArea dataOnly="0" labelOnly="1" outline="0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2">
          <reference field="0" count="1" selected="0">
            <x v="0"/>
          </reference>
          <reference field="1" count="4">
            <x v="0"/>
            <x v="1"/>
            <x v="2"/>
            <x v="3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2"/>
          </reference>
          <reference field="1" count="2">
            <x v="4"/>
            <x v="6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3"/>
          </reference>
          <reference field="1" count="1">
            <x v="5"/>
          </reference>
        </references>
      </pivotArea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数据透视表5" cacheId="1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K3:M13" firstHeaderRow="1" firstDataRow="1" firstDataCol="2"/>
  <pivotFields count="3">
    <pivotField axis="axisRow" compact="0" showAll="0">
      <items count="7">
        <item x="0"/>
        <item m="1" x="5"/>
        <item m="1" x="4"/>
        <item x="1"/>
        <item m="1" x="2"/>
        <item m="1" x="3"/>
        <item t="default"/>
      </items>
    </pivotField>
    <pivotField axis="axisRow" compact="0" showAll="0">
      <items count="8">
        <item x="3"/>
        <item x="4"/>
        <item x="0"/>
        <item x="6"/>
        <item x="1"/>
        <item x="2"/>
        <item x="5"/>
        <item t="default"/>
      </items>
    </pivotField>
    <pivotField dataField="1" compact="0" numFmtId="180" showAll="0">
      <items count="15">
        <item x="10"/>
        <item x="13"/>
        <item x="7"/>
        <item x="2"/>
        <item x="5"/>
        <item x="11"/>
        <item x="3"/>
        <item x="0"/>
        <item x="1"/>
        <item x="9"/>
        <item x="8"/>
        <item x="12"/>
        <item x="4"/>
        <item x="6"/>
        <item t="default"/>
      </items>
    </pivotField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求和项:数量" fld="2" baseField="0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field="1" type="button" dataOnly="0" labelOnly="1" outline="0" axis="axisRow" fieldPosition="1"/>
    </format>
    <format dxfId="5">
      <pivotArea dataOnly="0" labelOnly="1" outline="0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2">
          <reference field="0" count="1" selected="0">
            <x v="0"/>
          </reference>
          <reference field="1" count="4">
            <x v="0"/>
            <x v="1"/>
            <x v="2"/>
            <x v="3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3"/>
          </reference>
          <reference field="1" count="3">
            <x v="4"/>
            <x v="5"/>
            <x v="6"/>
          </reference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136" workbookViewId="0">
      <selection activeCell="F5" sqref="F5"/>
    </sheetView>
  </sheetViews>
  <sheetFormatPr baseColWidth="10" defaultColWidth="9" defaultRowHeight="14"/>
  <cols>
    <col min="1" max="1" width="42.83203125" customWidth="1"/>
    <col min="2" max="2" width="24.1640625" customWidth="1"/>
    <col min="3" max="3" width="18.5" customWidth="1"/>
    <col min="4" max="4" width="19.6640625" customWidth="1"/>
    <col min="7" max="7" width="15.5" customWidth="1"/>
    <col min="8" max="8" width="10" customWidth="1"/>
    <col min="9" max="9" width="11.5" customWidth="1"/>
    <col min="10" max="10" width="11.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>
      <c r="A2" s="4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6">
        <v>2</v>
      </c>
      <c r="G2" s="7" t="s">
        <v>15</v>
      </c>
      <c r="H2" s="5" t="s">
        <v>16</v>
      </c>
      <c r="I2" s="8" t="s">
        <v>17</v>
      </c>
      <c r="J2" s="9" t="s">
        <v>18</v>
      </c>
    </row>
    <row r="3" spans="1:10">
      <c r="A3" s="4" t="s">
        <v>19</v>
      </c>
      <c r="B3" s="5" t="s">
        <v>20</v>
      </c>
      <c r="C3" s="5" t="s">
        <v>21</v>
      </c>
      <c r="D3" s="5" t="s">
        <v>22</v>
      </c>
      <c r="E3" s="6" t="s">
        <v>14</v>
      </c>
      <c r="F3" s="6">
        <v>2</v>
      </c>
      <c r="G3" s="10" t="s">
        <v>23</v>
      </c>
      <c r="H3" s="5" t="s">
        <v>24</v>
      </c>
      <c r="I3" s="8" t="s">
        <v>17</v>
      </c>
      <c r="J3" s="9" t="s">
        <v>18</v>
      </c>
    </row>
    <row r="4" spans="1:10">
      <c r="A4" s="4" t="s">
        <v>19</v>
      </c>
      <c r="B4" s="5" t="s">
        <v>25</v>
      </c>
      <c r="C4" s="5" t="s">
        <v>26</v>
      </c>
      <c r="D4" s="5" t="s">
        <v>27</v>
      </c>
      <c r="E4" s="6" t="s">
        <v>14</v>
      </c>
      <c r="F4" s="6">
        <v>5</v>
      </c>
      <c r="G4" s="10" t="s">
        <v>28</v>
      </c>
      <c r="H4" s="5" t="s">
        <v>24</v>
      </c>
      <c r="I4" s="8" t="s">
        <v>17</v>
      </c>
      <c r="J4" s="9" t="s">
        <v>18</v>
      </c>
    </row>
    <row r="5" spans="1:10">
      <c r="A5" s="4" t="s">
        <v>29</v>
      </c>
      <c r="B5" s="5" t="s">
        <v>11</v>
      </c>
      <c r="C5" s="5" t="s">
        <v>12</v>
      </c>
      <c r="D5" s="5" t="s">
        <v>13</v>
      </c>
      <c r="E5" s="6" t="s">
        <v>14</v>
      </c>
      <c r="F5" s="6">
        <v>4</v>
      </c>
      <c r="G5" s="10" t="s">
        <v>15</v>
      </c>
      <c r="H5" s="5" t="s">
        <v>30</v>
      </c>
      <c r="I5" s="8" t="s">
        <v>17</v>
      </c>
      <c r="J5" s="9" t="s">
        <v>18</v>
      </c>
    </row>
    <row r="6" spans="1:10">
      <c r="A6" s="4" t="s">
        <v>31</v>
      </c>
      <c r="B6" s="5" t="s">
        <v>11</v>
      </c>
      <c r="C6" s="5" t="s">
        <v>12</v>
      </c>
      <c r="D6" s="5" t="s">
        <v>13</v>
      </c>
      <c r="E6" s="6" t="s">
        <v>14</v>
      </c>
      <c r="F6" s="6">
        <v>3</v>
      </c>
      <c r="G6" s="10" t="s">
        <v>15</v>
      </c>
      <c r="H6" s="5" t="s">
        <v>32</v>
      </c>
      <c r="I6" s="8" t="s">
        <v>17</v>
      </c>
      <c r="J6" s="9" t="s">
        <v>18</v>
      </c>
    </row>
    <row r="7" spans="1:10">
      <c r="A7" s="4" t="s">
        <v>31</v>
      </c>
      <c r="B7" s="5" t="s">
        <v>33</v>
      </c>
      <c r="C7" s="5" t="s">
        <v>34</v>
      </c>
      <c r="D7" s="5" t="s">
        <v>35</v>
      </c>
      <c r="E7" s="6" t="s">
        <v>14</v>
      </c>
      <c r="F7" s="6">
        <v>3</v>
      </c>
      <c r="G7" s="10" t="s">
        <v>36</v>
      </c>
      <c r="H7" s="5" t="s">
        <v>32</v>
      </c>
      <c r="I7" s="8" t="s">
        <v>17</v>
      </c>
      <c r="J7" s="9" t="s">
        <v>18</v>
      </c>
    </row>
    <row r="8" spans="1:10">
      <c r="A8" s="4" t="s">
        <v>37</v>
      </c>
      <c r="B8" s="5" t="s">
        <v>38</v>
      </c>
      <c r="C8" s="5" t="s">
        <v>39</v>
      </c>
      <c r="D8" s="5" t="s">
        <v>40</v>
      </c>
      <c r="E8" s="6" t="s">
        <v>14</v>
      </c>
      <c r="F8" s="6">
        <v>2</v>
      </c>
      <c r="G8" s="10" t="s">
        <v>41</v>
      </c>
      <c r="H8" s="5" t="s">
        <v>32</v>
      </c>
      <c r="I8" s="8" t="s">
        <v>17</v>
      </c>
      <c r="J8" s="9" t="s">
        <v>18</v>
      </c>
    </row>
    <row r="9" spans="1:10">
      <c r="A9" s="4" t="s">
        <v>37</v>
      </c>
      <c r="B9" s="5" t="s">
        <v>42</v>
      </c>
      <c r="C9" s="5" t="s">
        <v>43</v>
      </c>
      <c r="D9" s="5" t="s">
        <v>44</v>
      </c>
      <c r="E9" s="6" t="s">
        <v>14</v>
      </c>
      <c r="F9" s="6">
        <v>14</v>
      </c>
      <c r="G9" s="10" t="s">
        <v>45</v>
      </c>
      <c r="H9" s="5" t="s">
        <v>32</v>
      </c>
      <c r="I9" s="8" t="s">
        <v>17</v>
      </c>
      <c r="J9" s="9" t="s">
        <v>18</v>
      </c>
    </row>
    <row r="10" spans="1:10">
      <c r="A10" s="4" t="s">
        <v>46</v>
      </c>
      <c r="B10" s="5" t="s">
        <v>38</v>
      </c>
      <c r="C10" s="5" t="s">
        <v>39</v>
      </c>
      <c r="D10" s="5" t="s">
        <v>40</v>
      </c>
      <c r="E10" s="6" t="s">
        <v>14</v>
      </c>
      <c r="F10" s="6">
        <v>2</v>
      </c>
      <c r="G10" s="10" t="s">
        <v>41</v>
      </c>
      <c r="H10" s="5" t="s">
        <v>32</v>
      </c>
      <c r="I10" s="8" t="s">
        <v>17</v>
      </c>
      <c r="J10" s="9" t="s">
        <v>18</v>
      </c>
    </row>
    <row r="11" spans="1:10">
      <c r="A11" s="4" t="s">
        <v>46</v>
      </c>
      <c r="B11" s="5" t="s">
        <v>42</v>
      </c>
      <c r="C11" s="5" t="s">
        <v>43</v>
      </c>
      <c r="D11" s="5" t="s">
        <v>47</v>
      </c>
      <c r="E11" s="6" t="s">
        <v>14</v>
      </c>
      <c r="F11" s="6">
        <v>6</v>
      </c>
      <c r="G11" s="10" t="s">
        <v>48</v>
      </c>
      <c r="H11" s="5" t="s">
        <v>32</v>
      </c>
      <c r="I11" s="8" t="s">
        <v>17</v>
      </c>
      <c r="J11" s="9" t="s">
        <v>18</v>
      </c>
    </row>
    <row r="12" spans="1:10">
      <c r="A12" s="4" t="s">
        <v>49</v>
      </c>
      <c r="B12" s="5" t="s">
        <v>11</v>
      </c>
      <c r="C12" s="5" t="s">
        <v>12</v>
      </c>
      <c r="D12" s="5" t="s">
        <v>13</v>
      </c>
      <c r="E12" s="6" t="s">
        <v>14</v>
      </c>
      <c r="F12" s="6">
        <v>3</v>
      </c>
      <c r="G12" s="10" t="s">
        <v>15</v>
      </c>
      <c r="H12" s="5" t="s">
        <v>30</v>
      </c>
      <c r="I12" s="8" t="s">
        <v>17</v>
      </c>
      <c r="J12" s="9" t="s">
        <v>18</v>
      </c>
    </row>
    <row r="13" spans="1:10">
      <c r="A13" s="4" t="s">
        <v>50</v>
      </c>
      <c r="B13" s="5" t="s">
        <v>11</v>
      </c>
      <c r="C13" s="5" t="s">
        <v>12</v>
      </c>
      <c r="D13" s="5" t="s">
        <v>13</v>
      </c>
      <c r="E13" s="6" t="s">
        <v>14</v>
      </c>
      <c r="F13" s="6">
        <v>1</v>
      </c>
      <c r="G13" s="10" t="s">
        <v>15</v>
      </c>
      <c r="H13" s="5" t="s">
        <v>30</v>
      </c>
      <c r="I13" s="8" t="s">
        <v>17</v>
      </c>
      <c r="J13" s="9" t="s">
        <v>18</v>
      </c>
    </row>
    <row r="14" spans="1:10">
      <c r="A14" s="4" t="s">
        <v>51</v>
      </c>
      <c r="B14" s="5" t="s">
        <v>20</v>
      </c>
      <c r="C14" s="5" t="s">
        <v>12</v>
      </c>
      <c r="D14" s="5" t="s">
        <v>52</v>
      </c>
      <c r="E14" s="6" t="s">
        <v>14</v>
      </c>
      <c r="F14" s="6">
        <v>6</v>
      </c>
      <c r="G14" s="10" t="s">
        <v>53</v>
      </c>
      <c r="H14" s="5" t="s">
        <v>54</v>
      </c>
      <c r="I14" s="8" t="s">
        <v>55</v>
      </c>
      <c r="J14" s="9" t="s">
        <v>18</v>
      </c>
    </row>
    <row r="15" spans="1:10">
      <c r="A15" s="4" t="s">
        <v>51</v>
      </c>
      <c r="B15" s="5" t="s">
        <v>25</v>
      </c>
      <c r="C15" s="5" t="s">
        <v>34</v>
      </c>
      <c r="D15" s="5" t="s">
        <v>56</v>
      </c>
      <c r="E15" s="6" t="s">
        <v>14</v>
      </c>
      <c r="F15" s="6">
        <v>10</v>
      </c>
      <c r="G15" s="10" t="s">
        <v>57</v>
      </c>
      <c r="H15" s="5" t="s">
        <v>54</v>
      </c>
      <c r="I15" s="8" t="s">
        <v>55</v>
      </c>
      <c r="J15" s="9" t="s">
        <v>18</v>
      </c>
    </row>
    <row r="16" spans="1:10">
      <c r="A16" s="4" t="s">
        <v>51</v>
      </c>
      <c r="B16" s="5" t="s">
        <v>25</v>
      </c>
      <c r="C16" s="5" t="s">
        <v>58</v>
      </c>
      <c r="D16" s="5" t="s">
        <v>59</v>
      </c>
      <c r="E16" s="6" t="s">
        <v>14</v>
      </c>
      <c r="F16" s="6">
        <v>10</v>
      </c>
      <c r="G16" s="10" t="s">
        <v>60</v>
      </c>
      <c r="H16" s="5" t="s">
        <v>54</v>
      </c>
      <c r="I16" s="8" t="s">
        <v>55</v>
      </c>
      <c r="J16" s="9" t="s">
        <v>18</v>
      </c>
    </row>
    <row r="17" spans="1:10">
      <c r="A17" s="4" t="s">
        <v>61</v>
      </c>
      <c r="B17" s="5" t="s">
        <v>20</v>
      </c>
      <c r="C17" s="5" t="s">
        <v>12</v>
      </c>
      <c r="D17" s="5" t="s">
        <v>52</v>
      </c>
      <c r="E17" s="6" t="s">
        <v>14</v>
      </c>
      <c r="F17" s="6">
        <v>8</v>
      </c>
      <c r="G17" s="10" t="s">
        <v>53</v>
      </c>
      <c r="H17" s="5" t="s">
        <v>54</v>
      </c>
      <c r="I17" s="8" t="s">
        <v>55</v>
      </c>
      <c r="J17" s="9" t="s">
        <v>18</v>
      </c>
    </row>
    <row r="18" spans="1:10">
      <c r="A18" s="4" t="s">
        <v>61</v>
      </c>
      <c r="B18" s="5" t="s">
        <v>25</v>
      </c>
      <c r="C18" s="5" t="s">
        <v>34</v>
      </c>
      <c r="D18" s="5" t="s">
        <v>56</v>
      </c>
      <c r="E18" s="6" t="s">
        <v>14</v>
      </c>
      <c r="F18" s="6">
        <v>15</v>
      </c>
      <c r="G18" s="10" t="s">
        <v>57</v>
      </c>
      <c r="H18" s="5" t="s">
        <v>54</v>
      </c>
      <c r="I18" s="8" t="s">
        <v>55</v>
      </c>
      <c r="J18" s="9" t="s">
        <v>18</v>
      </c>
    </row>
    <row r="19" spans="1:10">
      <c r="A19" s="4" t="s">
        <v>61</v>
      </c>
      <c r="B19" s="5" t="s">
        <v>25</v>
      </c>
      <c r="C19" s="5" t="s">
        <v>58</v>
      </c>
      <c r="D19" s="5" t="s">
        <v>59</v>
      </c>
      <c r="E19" s="6" t="s">
        <v>14</v>
      </c>
      <c r="F19" s="6">
        <v>15</v>
      </c>
      <c r="G19" s="10" t="s">
        <v>60</v>
      </c>
      <c r="H19" s="5" t="s">
        <v>54</v>
      </c>
      <c r="I19" s="8" t="s">
        <v>55</v>
      </c>
      <c r="J19" s="9" t="s">
        <v>18</v>
      </c>
    </row>
    <row r="20" spans="1:10">
      <c r="A20" s="11" t="s">
        <v>62</v>
      </c>
      <c r="B20" s="12" t="s">
        <v>20</v>
      </c>
      <c r="C20" s="12" t="s">
        <v>12</v>
      </c>
      <c r="D20" s="5" t="s">
        <v>52</v>
      </c>
      <c r="E20" s="13" t="s">
        <v>14</v>
      </c>
      <c r="F20" s="13">
        <v>1</v>
      </c>
      <c r="G20" s="14" t="s">
        <v>53</v>
      </c>
      <c r="H20" s="12" t="s">
        <v>54</v>
      </c>
      <c r="I20" s="15" t="s">
        <v>55</v>
      </c>
      <c r="J20" s="16" t="s">
        <v>63</v>
      </c>
    </row>
    <row r="21" spans="1:10">
      <c r="A21" s="4" t="s">
        <v>64</v>
      </c>
      <c r="B21" s="5" t="s">
        <v>11</v>
      </c>
      <c r="C21" s="5" t="s">
        <v>12</v>
      </c>
      <c r="D21" s="5" t="s">
        <v>13</v>
      </c>
      <c r="E21" s="6" t="s">
        <v>14</v>
      </c>
      <c r="F21" s="6">
        <v>4</v>
      </c>
      <c r="G21" s="7" t="s">
        <v>15</v>
      </c>
      <c r="H21" s="5" t="s">
        <v>16</v>
      </c>
      <c r="I21" s="8" t="s">
        <v>17</v>
      </c>
      <c r="J21" s="9" t="s">
        <v>18</v>
      </c>
    </row>
    <row r="22" spans="1:10">
      <c r="A22" s="11" t="s">
        <v>65</v>
      </c>
      <c r="B22" s="12" t="s">
        <v>20</v>
      </c>
      <c r="C22" s="12" t="s">
        <v>12</v>
      </c>
      <c r="D22" s="5" t="s">
        <v>52</v>
      </c>
      <c r="E22" s="13" t="s">
        <v>14</v>
      </c>
      <c r="F22" s="13">
        <v>3</v>
      </c>
      <c r="G22" s="17" t="s">
        <v>53</v>
      </c>
      <c r="H22" s="12" t="s">
        <v>16</v>
      </c>
      <c r="I22" s="15" t="s">
        <v>55</v>
      </c>
      <c r="J22" s="16" t="s">
        <v>63</v>
      </c>
    </row>
    <row r="23" spans="1:10">
      <c r="A23" s="11" t="s">
        <v>66</v>
      </c>
      <c r="B23" s="12" t="s">
        <v>25</v>
      </c>
      <c r="C23" s="12" t="s">
        <v>58</v>
      </c>
      <c r="D23" s="12" t="s">
        <v>59</v>
      </c>
      <c r="E23" s="13" t="s">
        <v>14</v>
      </c>
      <c r="F23" s="13">
        <v>17</v>
      </c>
      <c r="G23" s="17" t="s">
        <v>60</v>
      </c>
      <c r="H23" s="12" t="s">
        <v>16</v>
      </c>
      <c r="I23" s="15" t="s">
        <v>55</v>
      </c>
      <c r="J23" s="16" t="s">
        <v>63</v>
      </c>
    </row>
    <row r="24" spans="1:10">
      <c r="A24" s="11" t="s">
        <v>66</v>
      </c>
      <c r="B24" s="12" t="s">
        <v>20</v>
      </c>
      <c r="C24" s="12" t="s">
        <v>12</v>
      </c>
      <c r="D24" s="5" t="s">
        <v>52</v>
      </c>
      <c r="E24" s="13" t="s">
        <v>14</v>
      </c>
      <c r="F24" s="13">
        <v>4</v>
      </c>
      <c r="G24" s="17" t="s">
        <v>53</v>
      </c>
      <c r="H24" s="12" t="s">
        <v>16</v>
      </c>
      <c r="I24" s="15" t="s">
        <v>55</v>
      </c>
      <c r="J24" s="16" t="s">
        <v>63</v>
      </c>
    </row>
    <row r="25" spans="1:10">
      <c r="A25" s="4" t="s">
        <v>67</v>
      </c>
      <c r="B25" s="5" t="s">
        <v>11</v>
      </c>
      <c r="C25" s="5" t="s">
        <v>12</v>
      </c>
      <c r="D25" s="5" t="s">
        <v>13</v>
      </c>
      <c r="E25" s="6" t="s">
        <v>14</v>
      </c>
      <c r="F25" s="6">
        <v>2</v>
      </c>
      <c r="G25" s="7" t="s">
        <v>15</v>
      </c>
      <c r="H25" s="5" t="s">
        <v>16</v>
      </c>
      <c r="I25" s="8" t="s">
        <v>17</v>
      </c>
      <c r="J25" s="9" t="s">
        <v>18</v>
      </c>
    </row>
    <row r="26" spans="1:10">
      <c r="A26" s="11" t="s">
        <v>68</v>
      </c>
      <c r="B26" s="5" t="s">
        <v>11</v>
      </c>
      <c r="C26" s="12" t="s">
        <v>12</v>
      </c>
      <c r="D26" s="5" t="s">
        <v>13</v>
      </c>
      <c r="E26" s="13" t="s">
        <v>14</v>
      </c>
      <c r="F26" s="13">
        <v>2</v>
      </c>
      <c r="G26" s="17" t="s">
        <v>15</v>
      </c>
      <c r="H26" s="12" t="s">
        <v>24</v>
      </c>
      <c r="I26" s="15" t="s">
        <v>55</v>
      </c>
      <c r="J26" s="16" t="s">
        <v>69</v>
      </c>
    </row>
    <row r="27" spans="1:10">
      <c r="A27" s="4" t="s">
        <v>70</v>
      </c>
      <c r="B27" s="5" t="s">
        <v>11</v>
      </c>
      <c r="C27" s="5" t="s">
        <v>12</v>
      </c>
      <c r="D27" s="5" t="s">
        <v>13</v>
      </c>
      <c r="E27" s="6" t="s">
        <v>14</v>
      </c>
      <c r="F27" s="6">
        <v>4</v>
      </c>
      <c r="G27" s="7" t="s">
        <v>15</v>
      </c>
      <c r="H27" s="5" t="s">
        <v>24</v>
      </c>
      <c r="I27" s="8" t="s">
        <v>17</v>
      </c>
      <c r="J27" s="9" t="s">
        <v>18</v>
      </c>
    </row>
  </sheetData>
  <autoFilter ref="A1:J27" xr:uid="{00000000-0009-0000-0000-000000000000}"/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58"/>
  <sheetViews>
    <sheetView zoomScale="120" zoomScaleNormal="120" workbookViewId="0">
      <selection activeCell="K20" sqref="K20"/>
    </sheetView>
  </sheetViews>
  <sheetFormatPr baseColWidth="10" defaultColWidth="8.83203125" defaultRowHeight="16" customHeight="1"/>
  <cols>
    <col min="1" max="1" width="26.83203125" style="19" customWidth="1"/>
    <col min="2" max="2" width="28.1640625" style="19" customWidth="1"/>
    <col min="3" max="3" width="8.83203125" style="19"/>
    <col min="4" max="4" width="45.5" style="19" customWidth="1"/>
    <col min="5" max="5" width="25.83203125" style="19" hidden="1" customWidth="1"/>
    <col min="6" max="6" width="14.83203125" style="19" customWidth="1"/>
    <col min="7" max="7" width="8.83203125" style="19"/>
    <col min="8" max="8" width="12.83203125" style="19"/>
    <col min="9" max="9" width="8.83203125" style="19"/>
    <col min="10" max="10" width="27.6640625" style="19"/>
    <col min="11" max="11" width="14.1640625" style="19"/>
    <col min="12" max="12" width="13.83203125" style="19"/>
    <col min="13" max="16384" width="8.83203125" style="19"/>
  </cols>
  <sheetData>
    <row r="2" spans="1:12" ht="16" customHeight="1">
      <c r="A2" s="18" t="s">
        <v>71</v>
      </c>
      <c r="B2" s="18" t="s">
        <v>2</v>
      </c>
      <c r="C2" s="18" t="s">
        <v>5</v>
      </c>
      <c r="D2" s="18" t="s">
        <v>72</v>
      </c>
      <c r="E2" s="18" t="s">
        <v>73</v>
      </c>
      <c r="F2" s="18" t="s">
        <v>74</v>
      </c>
      <c r="G2" s="18" t="s">
        <v>75</v>
      </c>
      <c r="H2" s="18" t="s">
        <v>76</v>
      </c>
    </row>
    <row r="3" spans="1:12" ht="16" customHeight="1">
      <c r="A3" s="18" t="s">
        <v>77</v>
      </c>
      <c r="B3" s="18" t="s">
        <v>78</v>
      </c>
      <c r="C3" s="20">
        <v>1</v>
      </c>
      <c r="D3" s="21" t="s">
        <v>79</v>
      </c>
      <c r="E3" s="18" t="s">
        <v>80</v>
      </c>
      <c r="F3" s="18" t="s">
        <v>18</v>
      </c>
      <c r="G3" s="18" t="s">
        <v>30</v>
      </c>
      <c r="H3" s="22">
        <v>44927</v>
      </c>
      <c r="J3" s="23" t="s">
        <v>71</v>
      </c>
      <c r="K3" s="23" t="s">
        <v>2</v>
      </c>
      <c r="L3" s="23" t="s">
        <v>81</v>
      </c>
    </row>
    <row r="4" spans="1:12" ht="16" customHeight="1">
      <c r="A4" s="18" t="s">
        <v>77</v>
      </c>
      <c r="B4" s="18" t="s">
        <v>39</v>
      </c>
      <c r="C4" s="20">
        <v>1</v>
      </c>
      <c r="D4" s="21" t="s">
        <v>79</v>
      </c>
      <c r="E4" s="18" t="s">
        <v>80</v>
      </c>
      <c r="F4" s="18" t="s">
        <v>18</v>
      </c>
      <c r="G4" s="18" t="s">
        <v>30</v>
      </c>
      <c r="H4" s="22">
        <v>45231</v>
      </c>
      <c r="J4" s="23" t="s">
        <v>77</v>
      </c>
      <c r="K4" s="23"/>
      <c r="L4" s="23">
        <v>58</v>
      </c>
    </row>
    <row r="5" spans="1:12" ht="16" customHeight="1">
      <c r="A5" s="18" t="s">
        <v>77</v>
      </c>
      <c r="B5" s="18" t="s">
        <v>82</v>
      </c>
      <c r="C5" s="24">
        <v>1</v>
      </c>
      <c r="D5" s="25" t="s">
        <v>83</v>
      </c>
      <c r="E5" s="18" t="s">
        <v>80</v>
      </c>
      <c r="F5" s="18" t="s">
        <v>18</v>
      </c>
      <c r="G5" s="18" t="s">
        <v>30</v>
      </c>
      <c r="H5" s="22">
        <v>45231</v>
      </c>
      <c r="J5" s="23"/>
      <c r="K5" s="23" t="s">
        <v>84</v>
      </c>
      <c r="L5" s="23">
        <v>3</v>
      </c>
    </row>
    <row r="6" spans="1:12" ht="16" customHeight="1">
      <c r="A6" s="18" t="s">
        <v>77</v>
      </c>
      <c r="B6" s="18" t="s">
        <v>78</v>
      </c>
      <c r="C6" s="20">
        <v>6</v>
      </c>
      <c r="D6" s="25" t="s">
        <v>83</v>
      </c>
      <c r="E6" s="18" t="s">
        <v>80</v>
      </c>
      <c r="F6" s="18" t="s">
        <v>18</v>
      </c>
      <c r="G6" s="18" t="s">
        <v>30</v>
      </c>
      <c r="H6" s="22">
        <v>44927</v>
      </c>
      <c r="J6" s="23"/>
      <c r="K6" s="23" t="s">
        <v>78</v>
      </c>
      <c r="L6" s="23">
        <v>7</v>
      </c>
    </row>
    <row r="7" spans="1:12" ht="16" customHeight="1">
      <c r="A7" s="18" t="s">
        <v>77</v>
      </c>
      <c r="B7" s="18" t="s">
        <v>39</v>
      </c>
      <c r="C7" s="20">
        <v>1</v>
      </c>
      <c r="D7" s="26" t="s">
        <v>83</v>
      </c>
      <c r="E7" s="18" t="s">
        <v>80</v>
      </c>
      <c r="F7" s="18" t="s">
        <v>18</v>
      </c>
      <c r="G7" s="18" t="s">
        <v>30</v>
      </c>
      <c r="H7" s="22">
        <v>45231</v>
      </c>
      <c r="J7" s="23"/>
      <c r="K7" s="23" t="s">
        <v>39</v>
      </c>
      <c r="L7" s="23">
        <v>46</v>
      </c>
    </row>
    <row r="8" spans="1:12" ht="16" customHeight="1">
      <c r="A8" s="18" t="s">
        <v>11</v>
      </c>
      <c r="B8" s="18" t="s">
        <v>12</v>
      </c>
      <c r="C8" s="20">
        <v>3</v>
      </c>
      <c r="D8" s="27" t="s">
        <v>85</v>
      </c>
      <c r="E8" s="18" t="s">
        <v>86</v>
      </c>
      <c r="F8" s="18" t="s">
        <v>18</v>
      </c>
      <c r="G8" s="18" t="s">
        <v>87</v>
      </c>
      <c r="H8" s="22">
        <v>45941</v>
      </c>
      <c r="J8" s="23"/>
      <c r="K8" s="23" t="s">
        <v>82</v>
      </c>
      <c r="L8" s="23">
        <v>2</v>
      </c>
    </row>
    <row r="9" spans="1:12" ht="16" customHeight="1">
      <c r="A9" s="18" t="s">
        <v>11</v>
      </c>
      <c r="B9" s="18" t="s">
        <v>12</v>
      </c>
      <c r="C9" s="20">
        <v>4</v>
      </c>
      <c r="D9" s="21" t="s">
        <v>88</v>
      </c>
      <c r="E9" s="18" t="s">
        <v>86</v>
      </c>
      <c r="F9" s="18" t="s">
        <v>18</v>
      </c>
      <c r="G9" s="18" t="s">
        <v>16</v>
      </c>
      <c r="H9" s="22">
        <v>45939</v>
      </c>
      <c r="J9" s="23" t="s">
        <v>11</v>
      </c>
      <c r="K9" s="23"/>
      <c r="L9" s="23">
        <v>157</v>
      </c>
    </row>
    <row r="10" spans="1:12" ht="16" customHeight="1">
      <c r="A10" s="18" t="s">
        <v>11</v>
      </c>
      <c r="B10" s="18" t="s">
        <v>12</v>
      </c>
      <c r="C10" s="20">
        <v>6</v>
      </c>
      <c r="D10" s="25" t="s">
        <v>89</v>
      </c>
      <c r="E10" s="18" t="s">
        <v>90</v>
      </c>
      <c r="F10" s="18" t="s">
        <v>18</v>
      </c>
      <c r="G10" s="18" t="s">
        <v>30</v>
      </c>
      <c r="H10" s="22">
        <v>45911</v>
      </c>
      <c r="J10" s="23"/>
      <c r="K10" s="23" t="s">
        <v>12</v>
      </c>
      <c r="L10" s="23">
        <v>155</v>
      </c>
    </row>
    <row r="11" spans="1:12" ht="16" customHeight="1">
      <c r="A11" s="18" t="s">
        <v>11</v>
      </c>
      <c r="B11" s="18" t="s">
        <v>12</v>
      </c>
      <c r="C11" s="20">
        <v>3</v>
      </c>
      <c r="D11" s="21" t="s">
        <v>91</v>
      </c>
      <c r="E11" s="18" t="s">
        <v>92</v>
      </c>
      <c r="F11" s="18" t="s">
        <v>18</v>
      </c>
      <c r="G11" s="18" t="s">
        <v>24</v>
      </c>
      <c r="H11" s="22">
        <v>45905</v>
      </c>
      <c r="J11" s="23"/>
      <c r="K11" s="23" t="s">
        <v>93</v>
      </c>
      <c r="L11" s="23">
        <v>2</v>
      </c>
    </row>
    <row r="12" spans="1:12" ht="16" customHeight="1">
      <c r="A12" s="18" t="s">
        <v>77</v>
      </c>
      <c r="B12" s="18" t="s">
        <v>39</v>
      </c>
      <c r="C12" s="20">
        <v>4</v>
      </c>
      <c r="D12" s="26" t="s">
        <v>94</v>
      </c>
      <c r="E12" s="18" t="s">
        <v>90</v>
      </c>
      <c r="F12" s="18" t="s">
        <v>18</v>
      </c>
      <c r="G12" s="18" t="s">
        <v>30</v>
      </c>
      <c r="H12" s="22">
        <v>45903</v>
      </c>
      <c r="J12" s="23" t="s">
        <v>95</v>
      </c>
      <c r="K12" s="23"/>
      <c r="L12" s="23">
        <v>2</v>
      </c>
    </row>
    <row r="13" spans="1:12" ht="16" customHeight="1">
      <c r="A13" s="18" t="s">
        <v>11</v>
      </c>
      <c r="B13" s="18" t="s">
        <v>12</v>
      </c>
      <c r="C13" s="20">
        <v>7</v>
      </c>
      <c r="D13" s="25" t="s">
        <v>96</v>
      </c>
      <c r="E13" s="18"/>
      <c r="F13" s="18" t="s">
        <v>18</v>
      </c>
      <c r="G13" s="18" t="s">
        <v>24</v>
      </c>
      <c r="H13" s="22">
        <v>45898</v>
      </c>
      <c r="J13" s="23"/>
      <c r="K13" s="23" t="s">
        <v>21</v>
      </c>
      <c r="L13" s="23">
        <v>2</v>
      </c>
    </row>
    <row r="14" spans="1:12" ht="16" customHeight="1">
      <c r="A14" s="18" t="s">
        <v>11</v>
      </c>
      <c r="B14" s="18" t="s">
        <v>12</v>
      </c>
      <c r="C14" s="20">
        <v>4</v>
      </c>
      <c r="D14" s="21" t="s">
        <v>97</v>
      </c>
      <c r="E14" s="18"/>
      <c r="F14" s="18" t="s">
        <v>18</v>
      </c>
      <c r="G14" s="18" t="s">
        <v>54</v>
      </c>
      <c r="H14" s="22">
        <v>45835</v>
      </c>
      <c r="J14" s="23" t="s">
        <v>98</v>
      </c>
      <c r="K14" s="23"/>
      <c r="L14" s="23">
        <v>217</v>
      </c>
    </row>
    <row r="15" spans="1:12" ht="16" customHeight="1">
      <c r="A15" s="18" t="s">
        <v>77</v>
      </c>
      <c r="B15" s="18" t="s">
        <v>39</v>
      </c>
      <c r="C15" s="20">
        <v>30</v>
      </c>
      <c r="D15" s="28" t="s">
        <v>99</v>
      </c>
      <c r="E15" s="18"/>
      <c r="F15" s="18" t="s">
        <v>18</v>
      </c>
      <c r="G15" s="18" t="s">
        <v>24</v>
      </c>
      <c r="H15" s="22">
        <v>45833</v>
      </c>
      <c r="J15" s="23"/>
      <c r="K15" s="23"/>
      <c r="L15" s="23"/>
    </row>
    <row r="16" spans="1:12" ht="16" customHeight="1">
      <c r="A16" s="18" t="s">
        <v>11</v>
      </c>
      <c r="B16" s="18" t="s">
        <v>12</v>
      </c>
      <c r="C16" s="20">
        <v>1</v>
      </c>
      <c r="D16" s="27" t="s">
        <v>100</v>
      </c>
      <c r="E16" s="18"/>
      <c r="F16" s="18" t="s">
        <v>18</v>
      </c>
      <c r="G16" s="18" t="s">
        <v>24</v>
      </c>
      <c r="H16" s="22">
        <v>45833</v>
      </c>
      <c r="J16" s="23"/>
      <c r="K16" s="23"/>
      <c r="L16" s="23"/>
    </row>
    <row r="17" spans="1:12" ht="16" customHeight="1">
      <c r="A17" s="18" t="s">
        <v>11</v>
      </c>
      <c r="B17" s="18" t="s">
        <v>12</v>
      </c>
      <c r="C17" s="20">
        <v>4</v>
      </c>
      <c r="D17" s="28" t="s">
        <v>101</v>
      </c>
      <c r="E17" s="18" t="s">
        <v>102</v>
      </c>
      <c r="F17" s="18" t="s">
        <v>18</v>
      </c>
      <c r="G17" s="18" t="s">
        <v>103</v>
      </c>
      <c r="H17" s="22">
        <v>45833</v>
      </c>
      <c r="J17" s="23"/>
      <c r="K17" s="23"/>
      <c r="L17" s="23"/>
    </row>
    <row r="18" spans="1:12" ht="16" customHeight="1">
      <c r="A18" s="18" t="s">
        <v>11</v>
      </c>
      <c r="B18" s="18" t="s">
        <v>12</v>
      </c>
      <c r="C18" s="20">
        <v>4</v>
      </c>
      <c r="D18" s="21" t="s">
        <v>104</v>
      </c>
      <c r="E18" s="18" t="s">
        <v>105</v>
      </c>
      <c r="F18" s="18" t="s">
        <v>18</v>
      </c>
      <c r="G18" s="18" t="s">
        <v>103</v>
      </c>
      <c r="H18" s="22">
        <v>45831</v>
      </c>
      <c r="J18" s="23"/>
      <c r="K18" s="23"/>
      <c r="L18" s="23"/>
    </row>
    <row r="19" spans="1:12" ht="16" customHeight="1">
      <c r="A19" s="18" t="s">
        <v>11</v>
      </c>
      <c r="B19" s="18" t="s">
        <v>12</v>
      </c>
      <c r="C19" s="20">
        <v>7</v>
      </c>
      <c r="D19" s="27" t="s">
        <v>106</v>
      </c>
      <c r="E19" s="18" t="s">
        <v>86</v>
      </c>
      <c r="F19" s="18" t="s">
        <v>18</v>
      </c>
      <c r="G19" s="18" t="s">
        <v>103</v>
      </c>
      <c r="H19" s="22">
        <v>45825</v>
      </c>
      <c r="J19" s="23"/>
      <c r="K19" s="23"/>
      <c r="L19" s="23"/>
    </row>
    <row r="20" spans="1:12" ht="16" customHeight="1">
      <c r="A20" s="18" t="s">
        <v>11</v>
      </c>
      <c r="B20" s="18" t="s">
        <v>12</v>
      </c>
      <c r="C20" s="20">
        <v>2</v>
      </c>
      <c r="D20" s="27" t="s">
        <v>107</v>
      </c>
      <c r="E20" s="18" t="s">
        <v>108</v>
      </c>
      <c r="F20" s="18" t="s">
        <v>18</v>
      </c>
      <c r="G20" s="18" t="s">
        <v>103</v>
      </c>
      <c r="H20" s="22">
        <v>45795</v>
      </c>
      <c r="J20" s="23"/>
      <c r="K20" s="23"/>
      <c r="L20" s="23"/>
    </row>
    <row r="21" spans="1:12" ht="16" customHeight="1">
      <c r="A21" s="18" t="s">
        <v>11</v>
      </c>
      <c r="B21" s="18" t="s">
        <v>12</v>
      </c>
      <c r="C21" s="20">
        <v>3</v>
      </c>
      <c r="D21" s="21" t="s">
        <v>109</v>
      </c>
      <c r="E21" s="18" t="s">
        <v>110</v>
      </c>
      <c r="F21" s="18" t="s">
        <v>18</v>
      </c>
      <c r="G21" s="18" t="s">
        <v>87</v>
      </c>
      <c r="H21" s="22">
        <v>45793</v>
      </c>
    </row>
    <row r="22" spans="1:12" ht="16" customHeight="1">
      <c r="A22" s="18" t="s">
        <v>11</v>
      </c>
      <c r="B22" s="18" t="s">
        <v>12</v>
      </c>
      <c r="C22" s="20">
        <v>2</v>
      </c>
      <c r="D22" s="28" t="s">
        <v>111</v>
      </c>
      <c r="E22" s="18" t="s">
        <v>112</v>
      </c>
      <c r="F22" s="18" t="s">
        <v>18</v>
      </c>
      <c r="G22" s="18" t="s">
        <v>87</v>
      </c>
      <c r="H22" s="22">
        <v>45793</v>
      </c>
    </row>
    <row r="23" spans="1:12" ht="16" customHeight="1">
      <c r="A23" s="18" t="s">
        <v>11</v>
      </c>
      <c r="B23" s="18" t="s">
        <v>12</v>
      </c>
      <c r="C23" s="20">
        <v>2</v>
      </c>
      <c r="D23" s="27" t="s">
        <v>113</v>
      </c>
      <c r="E23" s="18"/>
      <c r="F23" s="18" t="s">
        <v>18</v>
      </c>
      <c r="G23" s="18" t="s">
        <v>54</v>
      </c>
      <c r="H23" s="22">
        <v>45793</v>
      </c>
    </row>
    <row r="24" spans="1:12" ht="16" customHeight="1">
      <c r="A24" s="18" t="s">
        <v>11</v>
      </c>
      <c r="B24" s="18" t="s">
        <v>12</v>
      </c>
      <c r="C24" s="20">
        <v>4</v>
      </c>
      <c r="D24" s="27" t="s">
        <v>114</v>
      </c>
      <c r="E24" s="18" t="s">
        <v>115</v>
      </c>
      <c r="F24" s="18" t="s">
        <v>18</v>
      </c>
      <c r="G24" s="18" t="s">
        <v>54</v>
      </c>
      <c r="H24" s="22">
        <v>45793</v>
      </c>
    </row>
    <row r="25" spans="1:12" ht="16" customHeight="1">
      <c r="A25" s="18" t="s">
        <v>77</v>
      </c>
      <c r="B25" s="18" t="s">
        <v>39</v>
      </c>
      <c r="C25" s="20">
        <v>2</v>
      </c>
      <c r="D25" s="29" t="s">
        <v>116</v>
      </c>
      <c r="E25" s="30"/>
      <c r="F25" s="18" t="s">
        <v>18</v>
      </c>
      <c r="G25" s="18" t="s">
        <v>32</v>
      </c>
      <c r="H25" s="31">
        <v>46120</v>
      </c>
    </row>
    <row r="26" spans="1:12" ht="16" customHeight="1">
      <c r="A26" s="18" t="s">
        <v>11</v>
      </c>
      <c r="B26" s="18" t="s">
        <v>12</v>
      </c>
      <c r="C26" s="20">
        <v>4</v>
      </c>
      <c r="D26" s="27" t="s">
        <v>70</v>
      </c>
      <c r="E26" s="32" t="s">
        <v>117</v>
      </c>
      <c r="F26" s="18" t="s">
        <v>18</v>
      </c>
      <c r="G26" s="18" t="s">
        <v>118</v>
      </c>
      <c r="H26" s="33">
        <v>46115</v>
      </c>
    </row>
    <row r="27" spans="1:12" ht="16" customHeight="1">
      <c r="A27" s="18" t="s">
        <v>11</v>
      </c>
      <c r="B27" s="18" t="s">
        <v>12</v>
      </c>
      <c r="C27" s="20">
        <v>2</v>
      </c>
      <c r="D27" s="21" t="s">
        <v>68</v>
      </c>
      <c r="E27" s="32" t="s">
        <v>119</v>
      </c>
      <c r="F27" s="18" t="s">
        <v>18</v>
      </c>
      <c r="G27" s="18" t="s">
        <v>24</v>
      </c>
      <c r="H27" s="31">
        <v>46115</v>
      </c>
    </row>
    <row r="28" spans="1:12" ht="16" customHeight="1">
      <c r="A28" s="18" t="s">
        <v>11</v>
      </c>
      <c r="B28" s="18" t="s">
        <v>12</v>
      </c>
      <c r="C28" s="20">
        <v>3</v>
      </c>
      <c r="D28" s="27" t="s">
        <v>120</v>
      </c>
      <c r="E28" s="32" t="s">
        <v>121</v>
      </c>
      <c r="F28" s="18" t="s">
        <v>18</v>
      </c>
      <c r="G28" s="18" t="s">
        <v>87</v>
      </c>
      <c r="H28" s="31">
        <v>46114</v>
      </c>
    </row>
    <row r="29" spans="1:12" ht="16" customHeight="1">
      <c r="A29" s="18" t="s">
        <v>95</v>
      </c>
      <c r="B29" s="18" t="s">
        <v>21</v>
      </c>
      <c r="C29" s="20">
        <v>2</v>
      </c>
      <c r="D29" s="25" t="s">
        <v>19</v>
      </c>
      <c r="E29" s="32" t="s">
        <v>122</v>
      </c>
      <c r="F29" s="18" t="s">
        <v>18</v>
      </c>
      <c r="G29" s="18" t="s">
        <v>24</v>
      </c>
      <c r="H29" s="34">
        <v>46111</v>
      </c>
    </row>
    <row r="30" spans="1:12" ht="16" customHeight="1">
      <c r="A30" s="18" t="s">
        <v>11</v>
      </c>
      <c r="B30" s="18" t="s">
        <v>12</v>
      </c>
      <c r="C30" s="20">
        <v>8</v>
      </c>
      <c r="D30" s="27" t="s">
        <v>123</v>
      </c>
      <c r="E30" s="32" t="s">
        <v>124</v>
      </c>
      <c r="F30" s="18" t="s">
        <v>18</v>
      </c>
      <c r="G30" s="18" t="s">
        <v>54</v>
      </c>
      <c r="H30" s="34">
        <v>46111</v>
      </c>
    </row>
    <row r="31" spans="1:12" ht="16" customHeight="1">
      <c r="A31" s="18" t="s">
        <v>77</v>
      </c>
      <c r="B31" s="18" t="s">
        <v>39</v>
      </c>
      <c r="C31" s="20">
        <v>3</v>
      </c>
      <c r="D31" s="21" t="s">
        <v>125</v>
      </c>
      <c r="E31" s="30"/>
      <c r="F31" s="35" t="s">
        <v>18</v>
      </c>
      <c r="G31" s="18" t="s">
        <v>126</v>
      </c>
      <c r="H31" s="34">
        <v>46094</v>
      </c>
    </row>
    <row r="32" spans="1:12" ht="16" customHeight="1">
      <c r="A32" s="18" t="s">
        <v>11</v>
      </c>
      <c r="B32" s="18" t="s">
        <v>12</v>
      </c>
      <c r="C32" s="20">
        <v>2</v>
      </c>
      <c r="D32" s="28" t="s">
        <v>127</v>
      </c>
      <c r="E32" s="32" t="s">
        <v>128</v>
      </c>
      <c r="F32" s="18" t="s">
        <v>18</v>
      </c>
      <c r="G32" s="18" t="s">
        <v>24</v>
      </c>
      <c r="H32" s="34">
        <v>46037</v>
      </c>
    </row>
    <row r="33" spans="1:8" ht="16" customHeight="1">
      <c r="A33" s="18" t="s">
        <v>11</v>
      </c>
      <c r="B33" s="18" t="s">
        <v>12</v>
      </c>
      <c r="C33" s="20">
        <v>4</v>
      </c>
      <c r="D33" s="28" t="s">
        <v>129</v>
      </c>
      <c r="E33" s="30"/>
      <c r="F33" s="18" t="s">
        <v>130</v>
      </c>
      <c r="G33" s="18" t="s">
        <v>54</v>
      </c>
      <c r="H33" s="31">
        <v>46029</v>
      </c>
    </row>
    <row r="34" spans="1:8" ht="16" customHeight="1">
      <c r="A34" s="18" t="s">
        <v>11</v>
      </c>
      <c r="B34" s="18" t="s">
        <v>12</v>
      </c>
      <c r="C34" s="20">
        <v>4</v>
      </c>
      <c r="D34" s="29" t="s">
        <v>29</v>
      </c>
      <c r="E34" s="32" t="s">
        <v>131</v>
      </c>
      <c r="F34" s="18" t="s">
        <v>18</v>
      </c>
      <c r="G34" s="18" t="s">
        <v>30</v>
      </c>
      <c r="H34" s="36">
        <v>46022</v>
      </c>
    </row>
    <row r="35" spans="1:8" ht="16" customHeight="1">
      <c r="A35" s="18" t="s">
        <v>11</v>
      </c>
      <c r="B35" s="18" t="s">
        <v>12</v>
      </c>
      <c r="C35" s="20">
        <v>1</v>
      </c>
      <c r="D35" s="28" t="s">
        <v>132</v>
      </c>
      <c r="E35" s="32" t="s">
        <v>133</v>
      </c>
      <c r="F35" s="18" t="s">
        <v>18</v>
      </c>
      <c r="G35" s="18" t="s">
        <v>87</v>
      </c>
      <c r="H35" s="37">
        <v>46017</v>
      </c>
    </row>
    <row r="36" spans="1:8" ht="16" customHeight="1">
      <c r="A36" s="18" t="s">
        <v>11</v>
      </c>
      <c r="B36" s="18" t="s">
        <v>12</v>
      </c>
      <c r="C36" s="20">
        <v>2</v>
      </c>
      <c r="D36" s="27" t="s">
        <v>67</v>
      </c>
      <c r="E36" s="32" t="s">
        <v>134</v>
      </c>
      <c r="F36" s="18" t="s">
        <v>18</v>
      </c>
      <c r="G36" s="18" t="s">
        <v>87</v>
      </c>
      <c r="H36" s="37">
        <v>46015</v>
      </c>
    </row>
    <row r="37" spans="1:8" ht="16" customHeight="1">
      <c r="A37" s="18" t="s">
        <v>11</v>
      </c>
      <c r="B37" s="18" t="s">
        <v>12</v>
      </c>
      <c r="C37" s="20">
        <v>2</v>
      </c>
      <c r="D37" s="27" t="s">
        <v>10</v>
      </c>
      <c r="E37" s="32" t="s">
        <v>135</v>
      </c>
      <c r="F37" s="18" t="s">
        <v>18</v>
      </c>
      <c r="G37" s="18" t="s">
        <v>16</v>
      </c>
      <c r="H37" s="38">
        <v>46003</v>
      </c>
    </row>
    <row r="38" spans="1:8" ht="16" customHeight="1">
      <c r="A38" s="18" t="s">
        <v>11</v>
      </c>
      <c r="B38" s="18" t="s">
        <v>12</v>
      </c>
      <c r="C38" s="20">
        <v>4</v>
      </c>
      <c r="D38" s="25" t="s">
        <v>164</v>
      </c>
      <c r="E38" s="32" t="s">
        <v>134</v>
      </c>
      <c r="F38" s="18" t="s">
        <v>18</v>
      </c>
      <c r="G38" s="18" t="s">
        <v>16</v>
      </c>
      <c r="H38" s="22">
        <v>45992</v>
      </c>
    </row>
    <row r="39" spans="1:8" ht="16" customHeight="1">
      <c r="A39" s="18" t="s">
        <v>11</v>
      </c>
      <c r="B39" s="18" t="s">
        <v>12</v>
      </c>
      <c r="C39" s="20">
        <v>1</v>
      </c>
      <c r="D39" s="39" t="s">
        <v>50</v>
      </c>
      <c r="E39" s="30"/>
      <c r="F39" s="18" t="s">
        <v>18</v>
      </c>
      <c r="G39" s="18" t="s">
        <v>30</v>
      </c>
      <c r="H39" s="36">
        <v>45681</v>
      </c>
    </row>
    <row r="40" spans="1:8" ht="16" customHeight="1">
      <c r="A40" s="18" t="s">
        <v>11</v>
      </c>
      <c r="B40" s="18" t="s">
        <v>12</v>
      </c>
      <c r="C40" s="20">
        <v>4</v>
      </c>
      <c r="D40" s="28" t="s">
        <v>136</v>
      </c>
      <c r="E40" s="32" t="s">
        <v>119</v>
      </c>
      <c r="F40" s="18" t="s">
        <v>18</v>
      </c>
      <c r="G40" s="18" t="s">
        <v>54</v>
      </c>
      <c r="H40" s="37">
        <v>45950</v>
      </c>
    </row>
    <row r="41" spans="1:8" ht="16" customHeight="1">
      <c r="A41" s="18" t="s">
        <v>11</v>
      </c>
      <c r="B41" s="18" t="s">
        <v>12</v>
      </c>
      <c r="C41" s="20">
        <v>4</v>
      </c>
      <c r="D41" s="25" t="s">
        <v>114</v>
      </c>
      <c r="E41" s="40" t="s">
        <v>115</v>
      </c>
      <c r="F41" s="18" t="s">
        <v>18</v>
      </c>
      <c r="G41" s="18" t="s">
        <v>54</v>
      </c>
      <c r="H41" s="34">
        <v>45793</v>
      </c>
    </row>
    <row r="42" spans="1:8" ht="16" customHeight="1">
      <c r="A42" s="18" t="s">
        <v>11</v>
      </c>
      <c r="B42" s="18" t="s">
        <v>12</v>
      </c>
      <c r="C42" s="20">
        <v>1</v>
      </c>
      <c r="D42" s="21" t="s">
        <v>137</v>
      </c>
      <c r="E42" s="30"/>
      <c r="F42" s="18" t="s">
        <v>18</v>
      </c>
      <c r="G42" s="18" t="s">
        <v>103</v>
      </c>
      <c r="H42" s="34">
        <v>45714</v>
      </c>
    </row>
    <row r="43" spans="1:8" ht="16" customHeight="1">
      <c r="A43" s="18" t="s">
        <v>11</v>
      </c>
      <c r="B43" s="18" t="s">
        <v>12</v>
      </c>
      <c r="C43" s="20">
        <v>2</v>
      </c>
      <c r="D43" s="26" t="s">
        <v>165</v>
      </c>
      <c r="E43" s="40" t="s">
        <v>102</v>
      </c>
      <c r="F43" s="18" t="s">
        <v>18</v>
      </c>
      <c r="G43" s="18" t="s">
        <v>103</v>
      </c>
      <c r="H43" s="41">
        <v>45714</v>
      </c>
    </row>
    <row r="44" spans="1:8" ht="16" customHeight="1">
      <c r="A44" s="18" t="s">
        <v>11</v>
      </c>
      <c r="B44" s="18" t="s">
        <v>12</v>
      </c>
      <c r="C44" s="20">
        <v>1</v>
      </c>
      <c r="D44" s="27" t="s">
        <v>137</v>
      </c>
      <c r="E44" s="30"/>
      <c r="F44" s="18" t="s">
        <v>18</v>
      </c>
      <c r="G44" s="18" t="s">
        <v>103</v>
      </c>
      <c r="H44" s="34">
        <v>45714</v>
      </c>
    </row>
    <row r="45" spans="1:8" ht="16" customHeight="1">
      <c r="A45" s="18" t="s">
        <v>11</v>
      </c>
      <c r="B45" s="18" t="s">
        <v>12</v>
      </c>
      <c r="C45" s="20">
        <v>10</v>
      </c>
      <c r="D45" s="21" t="s">
        <v>138</v>
      </c>
      <c r="E45" s="40" t="s">
        <v>133</v>
      </c>
      <c r="F45" s="18" t="s">
        <v>18</v>
      </c>
      <c r="G45" s="18" t="s">
        <v>103</v>
      </c>
      <c r="H45" s="42">
        <v>45709</v>
      </c>
    </row>
    <row r="46" spans="1:8" ht="16" customHeight="1">
      <c r="A46" s="18" t="s">
        <v>77</v>
      </c>
      <c r="B46" s="18" t="s">
        <v>39</v>
      </c>
      <c r="C46" s="20">
        <v>4</v>
      </c>
      <c r="D46" s="25" t="s">
        <v>166</v>
      </c>
      <c r="E46" s="40" t="s">
        <v>115</v>
      </c>
      <c r="F46" s="18" t="s">
        <v>18</v>
      </c>
      <c r="G46" s="18" t="s">
        <v>24</v>
      </c>
      <c r="H46" s="34">
        <v>45675</v>
      </c>
    </row>
    <row r="47" spans="1:8" ht="16" customHeight="1">
      <c r="A47" s="18" t="s">
        <v>11</v>
      </c>
      <c r="B47" s="18" t="s">
        <v>12</v>
      </c>
      <c r="C47" s="20">
        <v>11</v>
      </c>
      <c r="D47" s="21" t="s">
        <v>139</v>
      </c>
      <c r="E47" s="40" t="s">
        <v>86</v>
      </c>
      <c r="F47" s="18" t="s">
        <v>18</v>
      </c>
      <c r="G47" s="18" t="s">
        <v>103</v>
      </c>
      <c r="H47" s="34">
        <v>45667</v>
      </c>
    </row>
    <row r="48" spans="1:8" ht="16" customHeight="1">
      <c r="A48" s="18" t="s">
        <v>11</v>
      </c>
      <c r="B48" s="18" t="s">
        <v>12</v>
      </c>
      <c r="C48" s="20">
        <v>9</v>
      </c>
      <c r="D48" s="26" t="s">
        <v>167</v>
      </c>
      <c r="E48" s="40" t="s">
        <v>86</v>
      </c>
      <c r="F48" s="18" t="s">
        <v>18</v>
      </c>
      <c r="G48" s="18" t="s">
        <v>54</v>
      </c>
      <c r="H48" s="31">
        <v>45665</v>
      </c>
    </row>
    <row r="49" spans="1:8" ht="16" customHeight="1">
      <c r="A49" s="18" t="s">
        <v>77</v>
      </c>
      <c r="B49" s="18" t="s">
        <v>84</v>
      </c>
      <c r="C49" s="20">
        <v>3</v>
      </c>
      <c r="D49" s="21" t="s">
        <v>140</v>
      </c>
      <c r="E49" s="40" t="s">
        <v>90</v>
      </c>
      <c r="F49" s="18" t="s">
        <v>18</v>
      </c>
      <c r="G49" s="18" t="s">
        <v>30</v>
      </c>
      <c r="H49" s="22">
        <v>45633</v>
      </c>
    </row>
    <row r="50" spans="1:8" ht="16" customHeight="1">
      <c r="A50" s="18" t="s">
        <v>77</v>
      </c>
      <c r="B50" s="18" t="s">
        <v>39</v>
      </c>
      <c r="C50" s="20">
        <v>1</v>
      </c>
      <c r="D50" s="25" t="s">
        <v>168</v>
      </c>
      <c r="E50" s="40" t="s">
        <v>141</v>
      </c>
      <c r="F50" s="18" t="s">
        <v>18</v>
      </c>
      <c r="G50" s="18" t="s">
        <v>54</v>
      </c>
      <c r="H50" s="37">
        <v>45589</v>
      </c>
    </row>
    <row r="51" spans="1:8" ht="16" customHeight="1">
      <c r="A51" s="18" t="s">
        <v>11</v>
      </c>
      <c r="B51" s="18" t="s">
        <v>12</v>
      </c>
      <c r="C51" s="20">
        <v>1</v>
      </c>
      <c r="D51" s="27" t="s">
        <v>142</v>
      </c>
      <c r="E51" s="40" t="s">
        <v>86</v>
      </c>
      <c r="F51" s="18" t="s">
        <v>18</v>
      </c>
      <c r="G51" s="18" t="s">
        <v>103</v>
      </c>
      <c r="H51" s="34">
        <v>45531</v>
      </c>
    </row>
    <row r="52" spans="1:8" ht="16" customHeight="1">
      <c r="A52" s="18" t="s">
        <v>11</v>
      </c>
      <c r="B52" s="18" t="s">
        <v>12</v>
      </c>
      <c r="C52" s="20">
        <v>4</v>
      </c>
      <c r="D52" s="25" t="s">
        <v>143</v>
      </c>
      <c r="E52" s="30"/>
      <c r="F52" s="18" t="s">
        <v>18</v>
      </c>
      <c r="G52" s="18" t="s">
        <v>24</v>
      </c>
      <c r="H52" s="43">
        <v>45490</v>
      </c>
    </row>
    <row r="53" spans="1:8" ht="16" customHeight="1">
      <c r="A53" s="18" t="s">
        <v>11</v>
      </c>
      <c r="B53" s="18" t="s">
        <v>93</v>
      </c>
      <c r="C53" s="20">
        <v>2</v>
      </c>
      <c r="D53" s="25" t="s">
        <v>143</v>
      </c>
      <c r="E53" s="30"/>
      <c r="F53" s="18" t="s">
        <v>18</v>
      </c>
      <c r="G53" s="18" t="s">
        <v>24</v>
      </c>
      <c r="H53" s="43">
        <v>45490</v>
      </c>
    </row>
    <row r="54" spans="1:8" ht="16" customHeight="1">
      <c r="A54" s="18" t="s">
        <v>11</v>
      </c>
      <c r="B54" s="18" t="s">
        <v>12</v>
      </c>
      <c r="C54" s="20">
        <v>3</v>
      </c>
      <c r="D54" s="28" t="s">
        <v>144</v>
      </c>
      <c r="E54" s="40" t="s">
        <v>90</v>
      </c>
      <c r="F54" s="18" t="s">
        <v>18</v>
      </c>
      <c r="G54" s="18" t="s">
        <v>30</v>
      </c>
      <c r="H54" s="34">
        <v>45489</v>
      </c>
    </row>
    <row r="55" spans="1:8" ht="16" customHeight="1">
      <c r="A55" s="18" t="s">
        <v>11</v>
      </c>
      <c r="B55" s="18" t="s">
        <v>12</v>
      </c>
      <c r="C55" s="20">
        <v>10</v>
      </c>
      <c r="D55" s="21" t="s">
        <v>145</v>
      </c>
      <c r="E55" s="30"/>
      <c r="F55" s="18" t="s">
        <v>18</v>
      </c>
      <c r="G55" s="18" t="s">
        <v>54</v>
      </c>
      <c r="H55" s="31">
        <v>45450</v>
      </c>
    </row>
    <row r="56" spans="1:8" ht="16" customHeight="1">
      <c r="A56" s="18" t="s">
        <v>11</v>
      </c>
      <c r="B56" s="18" t="s">
        <v>12</v>
      </c>
      <c r="C56" s="20">
        <v>2</v>
      </c>
      <c r="D56" s="21" t="s">
        <v>146</v>
      </c>
      <c r="E56" s="40" t="s">
        <v>147</v>
      </c>
      <c r="F56" s="18" t="s">
        <v>18</v>
      </c>
      <c r="G56" s="18" t="s">
        <v>87</v>
      </c>
      <c r="H56" s="34">
        <v>45377</v>
      </c>
    </row>
    <row r="57" spans="1:8" ht="16" customHeight="1">
      <c r="A57" s="18" t="s">
        <v>77</v>
      </c>
      <c r="B57" s="18" t="s">
        <v>82</v>
      </c>
      <c r="C57" s="20">
        <v>1</v>
      </c>
      <c r="D57" s="27" t="s">
        <v>79</v>
      </c>
      <c r="E57" s="40" t="s">
        <v>80</v>
      </c>
      <c r="F57" s="18" t="s">
        <v>18</v>
      </c>
      <c r="G57" s="18" t="s">
        <v>30</v>
      </c>
      <c r="H57" s="22">
        <v>45231</v>
      </c>
    </row>
    <row r="58" spans="1:8" ht="16" customHeight="1">
      <c r="C58" s="19">
        <f>SUM(C3:C57)</f>
        <v>217</v>
      </c>
    </row>
  </sheetData>
  <autoFilter ref="A2:H58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33"/>
  <sheetViews>
    <sheetView tabSelected="1" topLeftCell="D1" zoomScale="137" workbookViewId="0">
      <selection activeCell="C7" sqref="C7"/>
    </sheetView>
  </sheetViews>
  <sheetFormatPr baseColWidth="10" defaultColWidth="8.83203125" defaultRowHeight="16" customHeight="1"/>
  <cols>
    <col min="1" max="1" width="22.5" style="47" customWidth="1"/>
    <col min="2" max="2" width="18.83203125" style="47" customWidth="1"/>
    <col min="3" max="3" width="8.83203125" style="47"/>
    <col min="4" max="4" width="40.1640625" style="47" customWidth="1"/>
    <col min="5" max="5" width="54.1640625" style="47" hidden="1" customWidth="1"/>
    <col min="6" max="7" width="8.83203125" style="47"/>
    <col min="8" max="8" width="13.6640625" style="47"/>
    <col min="9" max="9" width="8.83203125" style="47"/>
    <col min="10" max="10" width="12.1640625" style="47"/>
    <col min="11" max="11" width="27.6640625" style="47"/>
    <col min="12" max="12" width="17.5" style="47"/>
    <col min="13" max="13" width="13.83203125" style="47"/>
    <col min="14" max="16384" width="8.83203125" style="47"/>
  </cols>
  <sheetData>
    <row r="2" spans="1:13" s="45" customFormat="1" ht="16" customHeight="1">
      <c r="A2" s="18" t="s">
        <v>71</v>
      </c>
      <c r="B2" s="18" t="s">
        <v>2</v>
      </c>
      <c r="C2" s="18" t="s">
        <v>5</v>
      </c>
      <c r="D2" s="18" t="s">
        <v>148</v>
      </c>
      <c r="E2" s="18" t="s">
        <v>73</v>
      </c>
      <c r="F2" s="18" t="s">
        <v>74</v>
      </c>
      <c r="G2" s="44" t="s">
        <v>75</v>
      </c>
      <c r="H2" s="18" t="s">
        <v>149</v>
      </c>
    </row>
    <row r="3" spans="1:13" s="45" customFormat="1" ht="16" customHeight="1">
      <c r="A3" s="18" t="s">
        <v>150</v>
      </c>
      <c r="B3" s="18" t="s">
        <v>43</v>
      </c>
      <c r="C3" s="20">
        <v>14</v>
      </c>
      <c r="D3" s="21" t="s">
        <v>37</v>
      </c>
      <c r="E3" s="30"/>
      <c r="F3" s="46" t="s">
        <v>18</v>
      </c>
      <c r="G3" s="18" t="s">
        <v>32</v>
      </c>
      <c r="H3" s="31">
        <v>46120</v>
      </c>
      <c r="K3" s="23" t="s">
        <v>71</v>
      </c>
      <c r="L3" s="23" t="s">
        <v>2</v>
      </c>
      <c r="M3" s="23" t="s">
        <v>81</v>
      </c>
    </row>
    <row r="4" spans="1:13" s="45" customFormat="1" ht="16" customHeight="1">
      <c r="A4" s="18" t="s">
        <v>151</v>
      </c>
      <c r="B4" s="18" t="s">
        <v>58</v>
      </c>
      <c r="C4" s="20">
        <v>15</v>
      </c>
      <c r="D4" s="21" t="s">
        <v>123</v>
      </c>
      <c r="E4" s="30" t="s">
        <v>152</v>
      </c>
      <c r="F4" s="46" t="s">
        <v>18</v>
      </c>
      <c r="G4" s="18" t="s">
        <v>54</v>
      </c>
      <c r="H4" s="31">
        <v>46111</v>
      </c>
      <c r="K4" s="23" t="s">
        <v>150</v>
      </c>
      <c r="L4" s="23"/>
      <c r="M4" s="23">
        <v>196</v>
      </c>
    </row>
    <row r="5" spans="1:13" s="45" customFormat="1" ht="16" customHeight="1">
      <c r="A5" s="18" t="s">
        <v>151</v>
      </c>
      <c r="B5" s="18" t="s">
        <v>34</v>
      </c>
      <c r="C5" s="20">
        <v>15</v>
      </c>
      <c r="D5" s="21" t="s">
        <v>123</v>
      </c>
      <c r="E5" s="30" t="s">
        <v>153</v>
      </c>
      <c r="F5" s="46" t="s">
        <v>18</v>
      </c>
      <c r="G5" s="18" t="s">
        <v>54</v>
      </c>
      <c r="H5" s="31">
        <v>46111</v>
      </c>
      <c r="K5" s="23"/>
      <c r="L5" s="23" t="s">
        <v>154</v>
      </c>
      <c r="M5" s="23">
        <v>17</v>
      </c>
    </row>
    <row r="6" spans="1:13" s="45" customFormat="1" ht="16" customHeight="1">
      <c r="A6" s="18" t="s">
        <v>151</v>
      </c>
      <c r="B6" s="18" t="s">
        <v>58</v>
      </c>
      <c r="C6" s="20">
        <v>5</v>
      </c>
      <c r="D6" s="21" t="s">
        <v>129</v>
      </c>
      <c r="E6" s="30"/>
      <c r="F6" s="46" t="s">
        <v>18</v>
      </c>
      <c r="G6" s="18" t="s">
        <v>54</v>
      </c>
      <c r="H6" s="31">
        <v>46029</v>
      </c>
      <c r="K6" s="23"/>
      <c r="L6" s="23" t="s">
        <v>155</v>
      </c>
      <c r="M6" s="23">
        <v>23</v>
      </c>
    </row>
    <row r="7" spans="1:13" s="45" customFormat="1" ht="16" customHeight="1">
      <c r="A7" s="18" t="s">
        <v>151</v>
      </c>
      <c r="B7" s="18" t="s">
        <v>58</v>
      </c>
      <c r="C7" s="20">
        <v>5</v>
      </c>
      <c r="D7" s="21" t="s">
        <v>88</v>
      </c>
      <c r="E7" s="30" t="s">
        <v>86</v>
      </c>
      <c r="F7" s="46" t="s">
        <v>18</v>
      </c>
      <c r="G7" s="18" t="s">
        <v>16</v>
      </c>
      <c r="H7" s="31">
        <v>45939</v>
      </c>
      <c r="K7" s="23"/>
      <c r="L7" s="23" t="s">
        <v>43</v>
      </c>
      <c r="M7" s="23">
        <v>144</v>
      </c>
    </row>
    <row r="8" spans="1:13" s="45" customFormat="1" ht="16" customHeight="1">
      <c r="A8" s="18" t="s">
        <v>150</v>
      </c>
      <c r="B8" s="18" t="s">
        <v>43</v>
      </c>
      <c r="C8" s="20">
        <v>11</v>
      </c>
      <c r="D8" s="21" t="s">
        <v>94</v>
      </c>
      <c r="E8" s="30" t="s">
        <v>156</v>
      </c>
      <c r="F8" s="46" t="s">
        <v>18</v>
      </c>
      <c r="G8" s="18" t="s">
        <v>30</v>
      </c>
      <c r="H8" s="31">
        <v>45903</v>
      </c>
      <c r="K8" s="23"/>
      <c r="L8" s="23" t="s">
        <v>157</v>
      </c>
      <c r="M8" s="23">
        <v>12</v>
      </c>
    </row>
    <row r="9" spans="1:13" s="45" customFormat="1" ht="16" customHeight="1">
      <c r="A9" s="18" t="s">
        <v>151</v>
      </c>
      <c r="B9" s="18" t="s">
        <v>34</v>
      </c>
      <c r="C9" s="20">
        <v>45</v>
      </c>
      <c r="D9" s="21" t="s">
        <v>96</v>
      </c>
      <c r="E9" s="30"/>
      <c r="F9" s="46" t="s">
        <v>18</v>
      </c>
      <c r="G9" s="18" t="s">
        <v>24</v>
      </c>
      <c r="H9" s="31">
        <v>45898</v>
      </c>
      <c r="K9" s="23" t="s">
        <v>151</v>
      </c>
      <c r="L9" s="23"/>
      <c r="M9" s="23">
        <v>190</v>
      </c>
    </row>
    <row r="10" spans="1:13" s="45" customFormat="1" ht="16" customHeight="1">
      <c r="A10" s="18" t="s">
        <v>151</v>
      </c>
      <c r="B10" s="18" t="s">
        <v>58</v>
      </c>
      <c r="C10" s="20">
        <v>6</v>
      </c>
      <c r="D10" s="21" t="s">
        <v>97</v>
      </c>
      <c r="E10" s="30"/>
      <c r="F10" s="46" t="s">
        <v>18</v>
      </c>
      <c r="G10" s="18" t="s">
        <v>54</v>
      </c>
      <c r="H10" s="31">
        <v>45835</v>
      </c>
      <c r="K10" s="23"/>
      <c r="L10" s="23" t="s">
        <v>58</v>
      </c>
      <c r="M10" s="23">
        <v>81</v>
      </c>
    </row>
    <row r="11" spans="1:13" s="45" customFormat="1" ht="16" customHeight="1">
      <c r="A11" s="18" t="s">
        <v>151</v>
      </c>
      <c r="B11" s="18" t="s">
        <v>34</v>
      </c>
      <c r="C11" s="20">
        <v>6</v>
      </c>
      <c r="D11" s="21" t="s">
        <v>97</v>
      </c>
      <c r="E11" s="30"/>
      <c r="F11" s="46" t="s">
        <v>18</v>
      </c>
      <c r="G11" s="18" t="s">
        <v>54</v>
      </c>
      <c r="H11" s="31">
        <v>45835</v>
      </c>
      <c r="K11" s="23"/>
      <c r="L11" s="23" t="s">
        <v>34</v>
      </c>
      <c r="M11" s="23">
        <v>108</v>
      </c>
    </row>
    <row r="12" spans="1:13" s="45" customFormat="1" ht="16" customHeight="1">
      <c r="A12" s="18" t="s">
        <v>150</v>
      </c>
      <c r="B12" s="18" t="s">
        <v>43</v>
      </c>
      <c r="C12" s="20">
        <v>91</v>
      </c>
      <c r="D12" s="21" t="s">
        <v>99</v>
      </c>
      <c r="E12" s="30"/>
      <c r="F12" s="46" t="s">
        <v>18</v>
      </c>
      <c r="G12" s="18" t="s">
        <v>24</v>
      </c>
      <c r="H12" s="31">
        <v>45833</v>
      </c>
      <c r="K12" s="23"/>
      <c r="L12" s="23" t="s">
        <v>158</v>
      </c>
      <c r="M12" s="23">
        <v>1</v>
      </c>
    </row>
    <row r="13" spans="1:13" s="45" customFormat="1" ht="16" customHeight="1">
      <c r="A13" s="18" t="s">
        <v>151</v>
      </c>
      <c r="B13" s="18" t="s">
        <v>58</v>
      </c>
      <c r="C13" s="20">
        <v>5</v>
      </c>
      <c r="D13" s="21" t="s">
        <v>114</v>
      </c>
      <c r="E13" s="30" t="s">
        <v>115</v>
      </c>
      <c r="F13" s="46" t="s">
        <v>18</v>
      </c>
      <c r="G13" s="18" t="s">
        <v>54</v>
      </c>
      <c r="H13" s="31">
        <v>45793</v>
      </c>
      <c r="K13" s="23" t="s">
        <v>98</v>
      </c>
      <c r="L13" s="23"/>
      <c r="M13" s="23">
        <v>386</v>
      </c>
    </row>
    <row r="14" spans="1:13" s="45" customFormat="1" ht="16" customHeight="1">
      <c r="A14" s="18" t="s">
        <v>151</v>
      </c>
      <c r="B14" s="18" t="s">
        <v>34</v>
      </c>
      <c r="C14" s="20">
        <v>4</v>
      </c>
      <c r="D14" s="21" t="s">
        <v>169</v>
      </c>
      <c r="E14" s="30"/>
      <c r="F14" s="46" t="s">
        <v>18</v>
      </c>
      <c r="G14" s="18" t="s">
        <v>103</v>
      </c>
      <c r="H14" s="31">
        <v>45714</v>
      </c>
      <c r="K14" s="23"/>
      <c r="L14" s="23"/>
      <c r="M14" s="23"/>
    </row>
    <row r="15" spans="1:13" s="45" customFormat="1" ht="16" customHeight="1">
      <c r="A15" s="18" t="s">
        <v>151</v>
      </c>
      <c r="B15" s="18" t="s">
        <v>58</v>
      </c>
      <c r="C15" s="20">
        <v>18</v>
      </c>
      <c r="D15" s="21" t="s">
        <v>138</v>
      </c>
      <c r="E15" s="30" t="s">
        <v>86</v>
      </c>
      <c r="F15" s="46" t="s">
        <v>18</v>
      </c>
      <c r="G15" s="18" t="s">
        <v>103</v>
      </c>
      <c r="H15" s="31">
        <v>45709</v>
      </c>
      <c r="K15" s="23"/>
      <c r="L15" s="23"/>
      <c r="M15" s="23"/>
    </row>
    <row r="16" spans="1:13" s="45" customFormat="1" ht="16" customHeight="1">
      <c r="A16" s="18" t="s">
        <v>151</v>
      </c>
      <c r="B16" s="18" t="s">
        <v>34</v>
      </c>
      <c r="C16" s="20">
        <v>11</v>
      </c>
      <c r="D16" s="21" t="s">
        <v>138</v>
      </c>
      <c r="E16" s="30" t="s">
        <v>86</v>
      </c>
      <c r="F16" s="46" t="s">
        <v>18</v>
      </c>
      <c r="G16" s="18" t="s">
        <v>103</v>
      </c>
      <c r="H16" s="31">
        <v>45709</v>
      </c>
      <c r="K16" s="23"/>
      <c r="L16" s="23"/>
      <c r="M16" s="23"/>
    </row>
    <row r="17" spans="1:13" s="45" customFormat="1" ht="16" customHeight="1">
      <c r="A17" s="18" t="s">
        <v>150</v>
      </c>
      <c r="B17" s="18" t="s">
        <v>43</v>
      </c>
      <c r="C17" s="20">
        <v>15</v>
      </c>
      <c r="D17" s="21" t="s">
        <v>159</v>
      </c>
      <c r="E17" s="30" t="s">
        <v>115</v>
      </c>
      <c r="F17" s="46" t="s">
        <v>18</v>
      </c>
      <c r="G17" s="18" t="s">
        <v>24</v>
      </c>
      <c r="H17" s="31">
        <v>45675</v>
      </c>
      <c r="K17" s="23"/>
      <c r="L17" s="23"/>
      <c r="M17" s="23"/>
    </row>
    <row r="18" spans="1:13" s="45" customFormat="1" ht="16" customHeight="1">
      <c r="A18" s="18" t="s">
        <v>150</v>
      </c>
      <c r="B18" s="18" t="s">
        <v>154</v>
      </c>
      <c r="C18" s="20">
        <v>17</v>
      </c>
      <c r="D18" s="21" t="s">
        <v>140</v>
      </c>
      <c r="E18" s="30" t="s">
        <v>156</v>
      </c>
      <c r="F18" s="46" t="s">
        <v>18</v>
      </c>
      <c r="G18" s="18" t="s">
        <v>30</v>
      </c>
      <c r="H18" s="31">
        <v>45633</v>
      </c>
      <c r="K18" s="23"/>
      <c r="L18" s="23"/>
      <c r="M18" s="23"/>
    </row>
    <row r="19" spans="1:13" s="45" customFormat="1" ht="16" customHeight="1">
      <c r="A19" s="18" t="s">
        <v>150</v>
      </c>
      <c r="B19" s="18" t="s">
        <v>155</v>
      </c>
      <c r="C19" s="20">
        <v>1</v>
      </c>
      <c r="D19" s="21" t="s">
        <v>160</v>
      </c>
      <c r="E19" s="30" t="s">
        <v>141</v>
      </c>
      <c r="F19" s="46" t="s">
        <v>18</v>
      </c>
      <c r="G19" s="18" t="s">
        <v>54</v>
      </c>
      <c r="H19" s="31">
        <v>45589</v>
      </c>
      <c r="K19" s="23"/>
      <c r="L19" s="23"/>
      <c r="M19" s="23"/>
    </row>
    <row r="20" spans="1:13" s="45" customFormat="1" ht="16" customHeight="1">
      <c r="A20" s="18" t="s">
        <v>150</v>
      </c>
      <c r="B20" s="18" t="s">
        <v>43</v>
      </c>
      <c r="C20" s="20">
        <v>1</v>
      </c>
      <c r="D20" s="21" t="s">
        <v>160</v>
      </c>
      <c r="E20" s="30" t="s">
        <v>141</v>
      </c>
      <c r="F20" s="46" t="s">
        <v>18</v>
      </c>
      <c r="G20" s="18" t="s">
        <v>54</v>
      </c>
      <c r="H20" s="31">
        <v>45589</v>
      </c>
      <c r="K20" s="23"/>
      <c r="L20" s="23"/>
      <c r="M20" s="23"/>
    </row>
    <row r="21" spans="1:13" s="45" customFormat="1" ht="16" customHeight="1">
      <c r="A21" s="18" t="s">
        <v>151</v>
      </c>
      <c r="B21" s="18" t="s">
        <v>58</v>
      </c>
      <c r="C21" s="20">
        <v>5</v>
      </c>
      <c r="D21" s="21" t="s">
        <v>143</v>
      </c>
      <c r="E21" s="30"/>
      <c r="F21" s="46" t="s">
        <v>18</v>
      </c>
      <c r="G21" s="18" t="s">
        <v>24</v>
      </c>
      <c r="H21" s="31">
        <v>45490</v>
      </c>
    </row>
    <row r="22" spans="1:13" s="45" customFormat="1" ht="16" customHeight="1">
      <c r="A22" s="18" t="s">
        <v>151</v>
      </c>
      <c r="B22" s="18" t="s">
        <v>34</v>
      </c>
      <c r="C22" s="20">
        <v>5</v>
      </c>
      <c r="D22" s="21" t="s">
        <v>143</v>
      </c>
      <c r="E22" s="30"/>
      <c r="F22" s="46" t="s">
        <v>18</v>
      </c>
      <c r="G22" s="18" t="s">
        <v>24</v>
      </c>
      <c r="H22" s="31">
        <v>45490</v>
      </c>
    </row>
    <row r="23" spans="1:13" s="45" customFormat="1" ht="16" customHeight="1">
      <c r="A23" s="18" t="s">
        <v>151</v>
      </c>
      <c r="B23" s="18" t="s">
        <v>158</v>
      </c>
      <c r="C23" s="20">
        <v>1</v>
      </c>
      <c r="D23" s="21" t="s">
        <v>143</v>
      </c>
      <c r="E23" s="30"/>
      <c r="F23" s="46" t="s">
        <v>18</v>
      </c>
      <c r="G23" s="18" t="s">
        <v>24</v>
      </c>
      <c r="H23" s="31">
        <v>45490</v>
      </c>
    </row>
    <row r="24" spans="1:13" s="45" customFormat="1" ht="16" customHeight="1">
      <c r="A24" s="18" t="s">
        <v>151</v>
      </c>
      <c r="B24" s="18" t="s">
        <v>58</v>
      </c>
      <c r="C24" s="20">
        <v>18</v>
      </c>
      <c r="D24" s="21" t="s">
        <v>145</v>
      </c>
      <c r="E24" s="30"/>
      <c r="F24" s="46" t="s">
        <v>18</v>
      </c>
      <c r="G24" s="18" t="s">
        <v>54</v>
      </c>
      <c r="H24" s="31">
        <v>45450</v>
      </c>
    </row>
    <row r="25" spans="1:13" s="45" customFormat="1" ht="16" customHeight="1">
      <c r="A25" s="18" t="s">
        <v>151</v>
      </c>
      <c r="B25" s="18" t="s">
        <v>34</v>
      </c>
      <c r="C25" s="20">
        <v>18</v>
      </c>
      <c r="D25" s="21" t="s">
        <v>145</v>
      </c>
      <c r="E25" s="30"/>
      <c r="F25" s="46" t="s">
        <v>18</v>
      </c>
      <c r="G25" s="18" t="s">
        <v>54</v>
      </c>
      <c r="H25" s="31">
        <v>45450</v>
      </c>
    </row>
    <row r="26" spans="1:13" s="45" customFormat="1" ht="16" customHeight="1">
      <c r="A26" s="18" t="s">
        <v>151</v>
      </c>
      <c r="B26" s="18" t="s">
        <v>34</v>
      </c>
      <c r="C26" s="20">
        <v>4</v>
      </c>
      <c r="D26" s="21" t="s">
        <v>146</v>
      </c>
      <c r="E26" s="30" t="s">
        <v>161</v>
      </c>
      <c r="F26" s="46" t="s">
        <v>18</v>
      </c>
      <c r="G26" s="18" t="s">
        <v>87</v>
      </c>
      <c r="H26" s="31">
        <v>45377</v>
      </c>
    </row>
    <row r="27" spans="1:13" s="45" customFormat="1" ht="16" customHeight="1">
      <c r="A27" s="18" t="s">
        <v>151</v>
      </c>
      <c r="B27" s="18" t="s">
        <v>58</v>
      </c>
      <c r="C27" s="20">
        <v>4</v>
      </c>
      <c r="D27" s="21" t="s">
        <v>146</v>
      </c>
      <c r="E27" s="30" t="s">
        <v>162</v>
      </c>
      <c r="F27" s="46" t="s">
        <v>18</v>
      </c>
      <c r="G27" s="18" t="s">
        <v>87</v>
      </c>
      <c r="H27" s="31">
        <v>45377</v>
      </c>
    </row>
    <row r="28" spans="1:13" s="45" customFormat="1" ht="16" customHeight="1">
      <c r="A28" s="18" t="s">
        <v>150</v>
      </c>
      <c r="B28" s="18" t="s">
        <v>43</v>
      </c>
      <c r="C28" s="20">
        <v>10</v>
      </c>
      <c r="D28" s="21" t="s">
        <v>83</v>
      </c>
      <c r="E28" s="30" t="s">
        <v>156</v>
      </c>
      <c r="F28" s="46" t="s">
        <v>18</v>
      </c>
      <c r="G28" s="18" t="s">
        <v>30</v>
      </c>
      <c r="H28" s="31">
        <v>45231</v>
      </c>
    </row>
    <row r="29" spans="1:13" s="45" customFormat="1" ht="16" customHeight="1">
      <c r="A29" s="18" t="s">
        <v>150</v>
      </c>
      <c r="B29" s="18" t="s">
        <v>155</v>
      </c>
      <c r="C29" s="20">
        <v>20</v>
      </c>
      <c r="D29" s="21" t="s">
        <v>83</v>
      </c>
      <c r="E29" s="30" t="s">
        <v>156</v>
      </c>
      <c r="F29" s="46" t="s">
        <v>18</v>
      </c>
      <c r="G29" s="18" t="s">
        <v>30</v>
      </c>
      <c r="H29" s="31">
        <v>45231</v>
      </c>
    </row>
    <row r="30" spans="1:13" s="45" customFormat="1" ht="16" customHeight="1">
      <c r="A30" s="18" t="s">
        <v>150</v>
      </c>
      <c r="B30" s="18" t="s">
        <v>157</v>
      </c>
      <c r="C30" s="20">
        <v>10</v>
      </c>
      <c r="D30" s="21" t="s">
        <v>83</v>
      </c>
      <c r="E30" s="30" t="s">
        <v>156</v>
      </c>
      <c r="F30" s="46" t="s">
        <v>18</v>
      </c>
      <c r="G30" s="18" t="s">
        <v>30</v>
      </c>
      <c r="H30" s="31">
        <v>45231</v>
      </c>
    </row>
    <row r="31" spans="1:13" s="45" customFormat="1" ht="16" customHeight="1">
      <c r="A31" s="18" t="s">
        <v>150</v>
      </c>
      <c r="B31" s="18" t="s">
        <v>157</v>
      </c>
      <c r="C31" s="20">
        <v>2</v>
      </c>
      <c r="D31" s="21" t="s">
        <v>79</v>
      </c>
      <c r="E31" s="30" t="s">
        <v>163</v>
      </c>
      <c r="F31" s="46" t="s">
        <v>18</v>
      </c>
      <c r="G31" s="18" t="s">
        <v>30</v>
      </c>
      <c r="H31" s="31">
        <v>45231</v>
      </c>
    </row>
    <row r="32" spans="1:13" s="45" customFormat="1" ht="16" customHeight="1">
      <c r="A32" s="18" t="s">
        <v>150</v>
      </c>
      <c r="B32" s="18" t="s">
        <v>43</v>
      </c>
      <c r="C32" s="20">
        <v>2</v>
      </c>
      <c r="D32" s="21" t="s">
        <v>79</v>
      </c>
      <c r="E32" s="30" t="s">
        <v>163</v>
      </c>
      <c r="F32" s="46" t="s">
        <v>18</v>
      </c>
      <c r="G32" s="18" t="s">
        <v>30</v>
      </c>
      <c r="H32" s="31">
        <v>45231</v>
      </c>
    </row>
    <row r="33" spans="1:8" s="45" customFormat="1" ht="16" customHeight="1">
      <c r="A33" s="18" t="s">
        <v>150</v>
      </c>
      <c r="B33" s="18" t="s">
        <v>155</v>
      </c>
      <c r="C33" s="20">
        <v>2</v>
      </c>
      <c r="D33" s="21" t="s">
        <v>79</v>
      </c>
      <c r="E33" s="30" t="s">
        <v>163</v>
      </c>
      <c r="F33" s="46" t="s">
        <v>18</v>
      </c>
      <c r="G33" s="18" t="s">
        <v>30</v>
      </c>
      <c r="H33" s="31">
        <v>45231</v>
      </c>
    </row>
  </sheetData>
  <autoFilter ref="A2:H33" xr:uid="{00000000-0009-0000-0000-000002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二季度预测项目</vt:lpstr>
      <vt:lpstr>中标阶段-近端-全部</vt:lpstr>
      <vt:lpstr>中标阶段-远端10W-全部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Aione</dc:creator>
  <cp:lastModifiedBy>James ni</cp:lastModifiedBy>
  <dcterms:created xsi:type="dcterms:W3CDTF">2023-05-12T11:15:00Z</dcterms:created>
  <dcterms:modified xsi:type="dcterms:W3CDTF">2026-04-10T04:25:58Z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D344CCD54E594370A77584C20E5657BE_12</vt:lpwstr>
  </property>
  <property fmtid="{D5CDD505-2E9C-101B-9397-08002B2CF9AE}" pid="4" name="CalculationRule">
    <vt:i4>0</vt:i4>
  </property>
</Properties>
</file>